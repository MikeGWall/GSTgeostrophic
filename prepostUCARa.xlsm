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0UCARresearch\"/>
    </mc:Choice>
  </mc:AlternateContent>
  <xr:revisionPtr revIDLastSave="0" documentId="13_ncr:1_{0AAC40E7-96B7-4622-81C9-637144B9E8EF}" xr6:coauthVersionLast="47" xr6:coauthVersionMax="47" xr10:uidLastSave="{00000000-0000-0000-0000-000000000000}"/>
  <bookViews>
    <workbookView xWindow="-28920" yWindow="-120" windowWidth="29040" windowHeight="15840" tabRatio="688" activeTab="2" xr2:uid="{00000000-000D-0000-FFFF-FFFF00000000}"/>
  </bookViews>
  <sheets>
    <sheet name="Sources" sheetId="1" r:id="rId1"/>
    <sheet name="origGeo" sheetId="2" r:id="rId2"/>
    <sheet name="MonthConvert" sheetId="20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00" i="2" l="1"/>
  <c r="N296" i="2"/>
  <c r="L439" i="20"/>
  <c r="L440" i="20" s="1"/>
  <c r="L441" i="20" s="1"/>
  <c r="L442" i="20" s="1"/>
  <c r="L443" i="20" s="1"/>
  <c r="L444" i="20" s="1"/>
  <c r="L445" i="20" s="1"/>
  <c r="L446" i="20" s="1"/>
  <c r="L447" i="20" s="1"/>
  <c r="L448" i="20" s="1"/>
  <c r="L449" i="20" s="1"/>
  <c r="L450" i="20" s="1"/>
  <c r="L451" i="20" s="1"/>
  <c r="L452" i="20" s="1"/>
  <c r="L453" i="20" s="1"/>
  <c r="L454" i="20" s="1"/>
  <c r="L455" i="20" s="1"/>
  <c r="L456" i="20" s="1"/>
  <c r="L457" i="20" s="1"/>
  <c r="L458" i="20" s="1"/>
  <c r="L459" i="20" s="1"/>
  <c r="L460" i="20" s="1"/>
  <c r="L461" i="20" s="1"/>
  <c r="L462" i="20" s="1"/>
  <c r="L463" i="20" s="1"/>
  <c r="L464" i="20" s="1"/>
  <c r="L465" i="20" s="1"/>
  <c r="L466" i="20" s="1"/>
  <c r="L467" i="20" s="1"/>
  <c r="L468" i="20" s="1"/>
  <c r="L469" i="20" s="1"/>
  <c r="L470" i="20" s="1"/>
  <c r="L471" i="20" s="1"/>
  <c r="L472" i="20" s="1"/>
  <c r="L473" i="20" s="1"/>
  <c r="L474" i="20" s="1"/>
  <c r="L475" i="20" s="1"/>
  <c r="L476" i="20" s="1"/>
  <c r="L477" i="20" s="1"/>
  <c r="L478" i="20" s="1"/>
  <c r="L479" i="20" s="1"/>
  <c r="L480" i="20" s="1"/>
  <c r="L481" i="20" s="1"/>
  <c r="L482" i="20" s="1"/>
  <c r="L483" i="20" s="1"/>
  <c r="L484" i="20" s="1"/>
  <c r="L485" i="20" s="1"/>
  <c r="L486" i="20" s="1"/>
  <c r="L487" i="20" s="1"/>
  <c r="L488" i="20" s="1"/>
  <c r="L489" i="20" s="1"/>
  <c r="L490" i="20" s="1"/>
  <c r="L491" i="20" s="1"/>
  <c r="L492" i="20" s="1"/>
  <c r="L493" i="20" s="1"/>
  <c r="L494" i="20" s="1"/>
  <c r="L495" i="20" s="1"/>
  <c r="L496" i="20" s="1"/>
  <c r="L497" i="20" s="1"/>
  <c r="L379" i="20"/>
  <c r="L380" i="20" s="1"/>
  <c r="L381" i="20" s="1"/>
  <c r="L382" i="20" s="1"/>
  <c r="L383" i="20" s="1"/>
  <c r="L384" i="20" s="1"/>
  <c r="L385" i="20" s="1"/>
  <c r="L386" i="20" s="1"/>
  <c r="L387" i="20" s="1"/>
  <c r="L388" i="20" s="1"/>
  <c r="L389" i="20" s="1"/>
  <c r="L390" i="20" s="1"/>
  <c r="L391" i="20" s="1"/>
  <c r="L392" i="20" s="1"/>
  <c r="L393" i="20" s="1"/>
  <c r="L394" i="20" s="1"/>
  <c r="L395" i="20" s="1"/>
  <c r="L396" i="20" s="1"/>
  <c r="L397" i="20" s="1"/>
  <c r="L398" i="20" s="1"/>
  <c r="L399" i="20" s="1"/>
  <c r="L400" i="20" s="1"/>
  <c r="L401" i="20" s="1"/>
  <c r="L402" i="20" s="1"/>
  <c r="L403" i="20" s="1"/>
  <c r="L404" i="20" s="1"/>
  <c r="L405" i="20" s="1"/>
  <c r="L406" i="20" s="1"/>
  <c r="L407" i="20" s="1"/>
  <c r="L408" i="20" s="1"/>
  <c r="L409" i="20" s="1"/>
  <c r="L410" i="20" s="1"/>
  <c r="L411" i="20" s="1"/>
  <c r="L412" i="20" s="1"/>
  <c r="L413" i="20" s="1"/>
  <c r="L414" i="20" s="1"/>
  <c r="L415" i="20" s="1"/>
  <c r="L416" i="20" s="1"/>
  <c r="L417" i="20" s="1"/>
  <c r="L418" i="20" s="1"/>
  <c r="L419" i="20" s="1"/>
  <c r="L420" i="20" s="1"/>
  <c r="L421" i="20" s="1"/>
  <c r="L422" i="20" s="1"/>
  <c r="L423" i="20" s="1"/>
  <c r="L424" i="20" s="1"/>
  <c r="L425" i="20" s="1"/>
  <c r="L426" i="20" s="1"/>
  <c r="L427" i="20" s="1"/>
  <c r="L428" i="20" s="1"/>
  <c r="L429" i="20" s="1"/>
  <c r="L430" i="20" s="1"/>
  <c r="L431" i="20" s="1"/>
  <c r="L432" i="20" s="1"/>
  <c r="L433" i="20" s="1"/>
  <c r="L434" i="20" s="1"/>
  <c r="L435" i="20" s="1"/>
  <c r="L436" i="20" s="1"/>
  <c r="L437" i="20" s="1"/>
  <c r="L259" i="20"/>
  <c r="L260" i="20" s="1"/>
  <c r="L261" i="20" s="1"/>
  <c r="L262" i="20" s="1"/>
  <c r="L263" i="20" s="1"/>
  <c r="L264" i="20" s="1"/>
  <c r="L265" i="20" s="1"/>
  <c r="L266" i="20" s="1"/>
  <c r="L267" i="20" s="1"/>
  <c r="L268" i="20" s="1"/>
  <c r="L269" i="20" s="1"/>
  <c r="L270" i="20" s="1"/>
  <c r="L271" i="20" s="1"/>
  <c r="L272" i="20" s="1"/>
  <c r="L273" i="20" s="1"/>
  <c r="L274" i="20" s="1"/>
  <c r="L275" i="20" s="1"/>
  <c r="L276" i="20" s="1"/>
  <c r="L277" i="20" s="1"/>
  <c r="L278" i="20" s="1"/>
  <c r="L279" i="20" s="1"/>
  <c r="L280" i="20" s="1"/>
  <c r="L281" i="20" s="1"/>
  <c r="L282" i="20" s="1"/>
  <c r="L283" i="20" s="1"/>
  <c r="L284" i="20" s="1"/>
  <c r="L285" i="20" s="1"/>
  <c r="L286" i="20" s="1"/>
  <c r="L287" i="20" s="1"/>
  <c r="L288" i="20" s="1"/>
  <c r="L289" i="20" s="1"/>
  <c r="L290" i="20" s="1"/>
  <c r="L291" i="20" s="1"/>
  <c r="L292" i="20" s="1"/>
  <c r="L293" i="20" s="1"/>
  <c r="L294" i="20" s="1"/>
  <c r="L295" i="20" s="1"/>
  <c r="L296" i="20" s="1"/>
  <c r="L297" i="20" s="1"/>
  <c r="L298" i="20" s="1"/>
  <c r="L299" i="20" s="1"/>
  <c r="L300" i="20" s="1"/>
  <c r="L301" i="20" s="1"/>
  <c r="L302" i="20" s="1"/>
  <c r="L303" i="20" s="1"/>
  <c r="L304" i="20" s="1"/>
  <c r="L305" i="20" s="1"/>
  <c r="L306" i="20" s="1"/>
  <c r="L307" i="20" s="1"/>
  <c r="L308" i="20" s="1"/>
  <c r="L309" i="20" s="1"/>
  <c r="L310" i="20" s="1"/>
  <c r="L311" i="20" s="1"/>
  <c r="L312" i="20" s="1"/>
  <c r="L313" i="20" s="1"/>
  <c r="L314" i="20" s="1"/>
  <c r="L315" i="20" s="1"/>
  <c r="L316" i="20" s="1"/>
  <c r="L317" i="20" s="1"/>
  <c r="L199" i="20"/>
  <c r="L200" i="20" s="1"/>
  <c r="L201" i="20" s="1"/>
  <c r="L202" i="20" s="1"/>
  <c r="L203" i="20" s="1"/>
  <c r="L204" i="20" s="1"/>
  <c r="L205" i="20" s="1"/>
  <c r="L206" i="20" s="1"/>
  <c r="L207" i="20" s="1"/>
  <c r="L208" i="20" s="1"/>
  <c r="L209" i="20" s="1"/>
  <c r="L210" i="20" s="1"/>
  <c r="L211" i="20" s="1"/>
  <c r="L212" i="20" s="1"/>
  <c r="L213" i="20" s="1"/>
  <c r="L214" i="20" s="1"/>
  <c r="L215" i="20" s="1"/>
  <c r="L216" i="20" s="1"/>
  <c r="L217" i="20" s="1"/>
  <c r="L218" i="20" s="1"/>
  <c r="L219" i="20" s="1"/>
  <c r="L220" i="20" s="1"/>
  <c r="L221" i="20" s="1"/>
  <c r="L222" i="20" s="1"/>
  <c r="L223" i="20" s="1"/>
  <c r="L224" i="20" s="1"/>
  <c r="L225" i="20" s="1"/>
  <c r="L226" i="20" s="1"/>
  <c r="L227" i="20" s="1"/>
  <c r="L228" i="20" s="1"/>
  <c r="L229" i="20" s="1"/>
  <c r="L230" i="20" s="1"/>
  <c r="L231" i="20" s="1"/>
  <c r="L232" i="20" s="1"/>
  <c r="L233" i="20" s="1"/>
  <c r="L234" i="20" s="1"/>
  <c r="L235" i="20" s="1"/>
  <c r="L236" i="20" s="1"/>
  <c r="L237" i="20" s="1"/>
  <c r="L238" i="20" s="1"/>
  <c r="L239" i="20" s="1"/>
  <c r="L240" i="20" s="1"/>
  <c r="L241" i="20" s="1"/>
  <c r="L242" i="20" s="1"/>
  <c r="L243" i="20" s="1"/>
  <c r="L244" i="20" s="1"/>
  <c r="L245" i="20" s="1"/>
  <c r="L246" i="20" s="1"/>
  <c r="L247" i="20" s="1"/>
  <c r="L248" i="20" s="1"/>
  <c r="L249" i="20" s="1"/>
  <c r="L250" i="20" s="1"/>
  <c r="L251" i="20" s="1"/>
  <c r="L252" i="20" s="1"/>
  <c r="L253" i="20" s="1"/>
  <c r="L254" i="20" s="1"/>
  <c r="L255" i="20" s="1"/>
  <c r="L256" i="20" s="1"/>
  <c r="L257" i="20" s="1"/>
  <c r="L139" i="20"/>
  <c r="L140" i="20" s="1"/>
  <c r="L141" i="20" s="1"/>
  <c r="L142" i="20" s="1"/>
  <c r="L143" i="20" s="1"/>
  <c r="L144" i="20" s="1"/>
  <c r="L145" i="20" s="1"/>
  <c r="L146" i="20" s="1"/>
  <c r="L147" i="20" s="1"/>
  <c r="L148" i="20" s="1"/>
  <c r="L149" i="20" s="1"/>
  <c r="L150" i="20" s="1"/>
  <c r="L151" i="20" s="1"/>
  <c r="L152" i="20" s="1"/>
  <c r="L153" i="20" s="1"/>
  <c r="L154" i="20" s="1"/>
  <c r="L155" i="20" s="1"/>
  <c r="L156" i="20" s="1"/>
  <c r="L157" i="20" s="1"/>
  <c r="L158" i="20" s="1"/>
  <c r="L159" i="20" s="1"/>
  <c r="L160" i="20" s="1"/>
  <c r="L161" i="20" s="1"/>
  <c r="L162" i="20" s="1"/>
  <c r="L163" i="20" s="1"/>
  <c r="L164" i="20" s="1"/>
  <c r="L165" i="20" s="1"/>
  <c r="L166" i="20" s="1"/>
  <c r="L167" i="20" s="1"/>
  <c r="L168" i="20" s="1"/>
  <c r="L169" i="20" s="1"/>
  <c r="L170" i="20" s="1"/>
  <c r="L171" i="20" s="1"/>
  <c r="L172" i="20" s="1"/>
  <c r="L173" i="20" s="1"/>
  <c r="L174" i="20" s="1"/>
  <c r="L175" i="20" s="1"/>
  <c r="L176" i="20" s="1"/>
  <c r="L177" i="20" s="1"/>
  <c r="L178" i="20" s="1"/>
  <c r="L179" i="20" s="1"/>
  <c r="L180" i="20" s="1"/>
  <c r="L181" i="20" s="1"/>
  <c r="L182" i="20" s="1"/>
  <c r="L183" i="20" s="1"/>
  <c r="L184" i="20" s="1"/>
  <c r="L185" i="20" s="1"/>
  <c r="L186" i="20" s="1"/>
  <c r="L187" i="20" s="1"/>
  <c r="L188" i="20" s="1"/>
  <c r="L189" i="20" s="1"/>
  <c r="L190" i="20" s="1"/>
  <c r="L191" i="20" s="1"/>
  <c r="L192" i="20" s="1"/>
  <c r="L193" i="20" s="1"/>
  <c r="L194" i="20" s="1"/>
  <c r="L195" i="20" s="1"/>
  <c r="L196" i="20" s="1"/>
  <c r="L197" i="20" s="1"/>
  <c r="L79" i="20"/>
  <c r="L80" i="20" s="1"/>
  <c r="L81" i="20" s="1"/>
  <c r="L82" i="20" s="1"/>
  <c r="L83" i="20" s="1"/>
  <c r="L84" i="20" s="1"/>
  <c r="L85" i="20" s="1"/>
  <c r="L86" i="20" s="1"/>
  <c r="L87" i="20" s="1"/>
  <c r="L88" i="20" s="1"/>
  <c r="L89" i="20" s="1"/>
  <c r="L90" i="20" s="1"/>
  <c r="L91" i="20" s="1"/>
  <c r="L92" i="20" s="1"/>
  <c r="L93" i="20" s="1"/>
  <c r="L94" i="20" s="1"/>
  <c r="L95" i="20" s="1"/>
  <c r="L96" i="20" s="1"/>
  <c r="L97" i="20" s="1"/>
  <c r="L98" i="20" s="1"/>
  <c r="L99" i="20" s="1"/>
  <c r="L100" i="20" s="1"/>
  <c r="L101" i="20" s="1"/>
  <c r="L102" i="20" s="1"/>
  <c r="L103" i="20" s="1"/>
  <c r="L104" i="20" s="1"/>
  <c r="L105" i="20" s="1"/>
  <c r="L106" i="20" s="1"/>
  <c r="L107" i="20" s="1"/>
  <c r="L108" i="20" s="1"/>
  <c r="L109" i="20" s="1"/>
  <c r="L110" i="20" s="1"/>
  <c r="L111" i="20" s="1"/>
  <c r="L112" i="20" s="1"/>
  <c r="L113" i="20" s="1"/>
  <c r="L114" i="20" s="1"/>
  <c r="L115" i="20" s="1"/>
  <c r="L116" i="20" s="1"/>
  <c r="L117" i="20" s="1"/>
  <c r="L118" i="20" s="1"/>
  <c r="L119" i="20" s="1"/>
  <c r="L120" i="20" s="1"/>
  <c r="L121" i="20" s="1"/>
  <c r="L122" i="20" s="1"/>
  <c r="L123" i="20" s="1"/>
  <c r="L124" i="20" s="1"/>
  <c r="L125" i="20" s="1"/>
  <c r="L126" i="20" s="1"/>
  <c r="L127" i="20" s="1"/>
  <c r="L128" i="20" s="1"/>
  <c r="L129" i="20" s="1"/>
  <c r="L130" i="20" s="1"/>
  <c r="L131" i="20" s="1"/>
  <c r="L132" i="20" s="1"/>
  <c r="L133" i="20" s="1"/>
  <c r="L134" i="20" s="1"/>
  <c r="L135" i="20" s="1"/>
  <c r="L136" i="20" s="1"/>
  <c r="L137" i="20" s="1"/>
  <c r="L19" i="20"/>
  <c r="L20" i="20" s="1"/>
  <c r="L21" i="20" s="1"/>
  <c r="L22" i="20" s="1"/>
  <c r="L23" i="20" s="1"/>
  <c r="L24" i="20" s="1"/>
  <c r="L25" i="20" s="1"/>
  <c r="L26" i="20" s="1"/>
  <c r="L27" i="20" s="1"/>
  <c r="L28" i="20" s="1"/>
  <c r="L29" i="20" s="1"/>
  <c r="L30" i="20" s="1"/>
  <c r="L31" i="20" s="1"/>
  <c r="L32" i="20" s="1"/>
  <c r="L33" i="20" s="1"/>
  <c r="L34" i="20" s="1"/>
  <c r="L35" i="20" s="1"/>
  <c r="L36" i="20" s="1"/>
  <c r="L37" i="20" s="1"/>
  <c r="L38" i="20" s="1"/>
  <c r="L39" i="20" s="1"/>
  <c r="L40" i="20" s="1"/>
  <c r="L41" i="20" s="1"/>
  <c r="L42" i="20" s="1"/>
  <c r="L43" i="20" s="1"/>
  <c r="L44" i="20" s="1"/>
  <c r="L45" i="20" s="1"/>
  <c r="L46" i="20" s="1"/>
  <c r="L47" i="20" s="1"/>
  <c r="L48" i="20" s="1"/>
  <c r="L49" i="20" s="1"/>
  <c r="L50" i="20" s="1"/>
  <c r="L51" i="20" s="1"/>
  <c r="L52" i="20" s="1"/>
  <c r="L53" i="20" s="1"/>
  <c r="L54" i="20" s="1"/>
  <c r="L55" i="20" s="1"/>
  <c r="L56" i="20" s="1"/>
  <c r="L57" i="20" s="1"/>
  <c r="L58" i="20" s="1"/>
  <c r="L59" i="20" s="1"/>
  <c r="L60" i="20" s="1"/>
  <c r="L61" i="20" s="1"/>
  <c r="L62" i="20" s="1"/>
  <c r="L63" i="20" s="1"/>
  <c r="L64" i="20" s="1"/>
  <c r="L65" i="20" s="1"/>
  <c r="L66" i="20" s="1"/>
  <c r="L67" i="20" s="1"/>
  <c r="L68" i="20" s="1"/>
  <c r="L69" i="20" s="1"/>
  <c r="L70" i="20" s="1"/>
  <c r="L71" i="20" s="1"/>
  <c r="L72" i="20" s="1"/>
  <c r="L73" i="20" s="1"/>
  <c r="L74" i="20" s="1"/>
  <c r="L75" i="20" s="1"/>
  <c r="L76" i="20" s="1"/>
  <c r="L77" i="20" s="1"/>
  <c r="K319" i="20"/>
  <c r="K320" i="20" s="1"/>
  <c r="K321" i="20" s="1"/>
  <c r="K322" i="20" s="1"/>
  <c r="K323" i="20" s="1"/>
  <c r="K324" i="20" s="1"/>
  <c r="K325" i="20" s="1"/>
  <c r="K326" i="20" s="1"/>
  <c r="K327" i="20" s="1"/>
  <c r="K328" i="20" s="1"/>
  <c r="K329" i="20" s="1"/>
  <c r="K330" i="20" s="1"/>
  <c r="K331" i="20" s="1"/>
  <c r="K332" i="20" s="1"/>
  <c r="K333" i="20" s="1"/>
  <c r="K334" i="20" s="1"/>
  <c r="K335" i="20" s="1"/>
  <c r="K336" i="20" s="1"/>
  <c r="K337" i="20" s="1"/>
  <c r="K338" i="20" s="1"/>
  <c r="K339" i="20" s="1"/>
  <c r="K340" i="20" s="1"/>
  <c r="K341" i="20" s="1"/>
  <c r="K342" i="20" s="1"/>
  <c r="K343" i="20" s="1"/>
  <c r="K344" i="20" s="1"/>
  <c r="K345" i="20" s="1"/>
  <c r="K346" i="20" s="1"/>
  <c r="K347" i="20" s="1"/>
  <c r="K348" i="20" s="1"/>
  <c r="K349" i="20" s="1"/>
  <c r="K350" i="20" s="1"/>
  <c r="K351" i="20" s="1"/>
  <c r="K352" i="20" s="1"/>
  <c r="K353" i="20" s="1"/>
  <c r="K354" i="20" s="1"/>
  <c r="K355" i="20" s="1"/>
  <c r="K356" i="20" s="1"/>
  <c r="K357" i="20" s="1"/>
  <c r="K358" i="20" s="1"/>
  <c r="K359" i="20" s="1"/>
  <c r="K360" i="20" s="1"/>
  <c r="K361" i="20" s="1"/>
  <c r="K362" i="20" s="1"/>
  <c r="K363" i="20" s="1"/>
  <c r="K364" i="20" s="1"/>
  <c r="K365" i="20" s="1"/>
  <c r="K366" i="20" s="1"/>
  <c r="K367" i="20" s="1"/>
  <c r="K368" i="20" s="1"/>
  <c r="K369" i="20" s="1"/>
  <c r="K370" i="20" s="1"/>
  <c r="K371" i="20" s="1"/>
  <c r="K372" i="20" s="1"/>
  <c r="K373" i="20" s="1"/>
  <c r="K374" i="20" s="1"/>
  <c r="K375" i="20" s="1"/>
  <c r="K376" i="20" s="1"/>
  <c r="K377" i="20" s="1"/>
  <c r="J379" i="20"/>
  <c r="M7" i="20"/>
  <c r="M8" i="20" s="1"/>
  <c r="M9" i="20" s="1"/>
  <c r="M10" i="20" s="1"/>
  <c r="M11" i="20" s="1"/>
  <c r="M12" i="20" s="1"/>
  <c r="M13" i="20" s="1"/>
  <c r="M14" i="20" s="1"/>
  <c r="M15" i="20" s="1"/>
  <c r="M16" i="20" s="1"/>
  <c r="M17" i="20" s="1"/>
  <c r="M18" i="20" s="1"/>
  <c r="M19" i="20" s="1"/>
  <c r="M20" i="20" s="1"/>
  <c r="M21" i="20" s="1"/>
  <c r="M22" i="20" s="1"/>
  <c r="M23" i="20" s="1"/>
  <c r="M24" i="20" s="1"/>
  <c r="M25" i="20" s="1"/>
  <c r="M26" i="20" s="1"/>
  <c r="M27" i="20" s="1"/>
  <c r="M28" i="20" s="1"/>
  <c r="M29" i="20" s="1"/>
  <c r="M30" i="20" s="1"/>
  <c r="M31" i="20" s="1"/>
  <c r="M32" i="20" s="1"/>
  <c r="M33" i="20" s="1"/>
  <c r="M34" i="20" s="1"/>
  <c r="M35" i="20" s="1"/>
  <c r="M36" i="20" s="1"/>
  <c r="M37" i="20" s="1"/>
  <c r="M38" i="20" s="1"/>
  <c r="M39" i="20" s="1"/>
  <c r="M40" i="20" s="1"/>
  <c r="M41" i="20" s="1"/>
  <c r="M42" i="20" s="1"/>
  <c r="M43" i="20" s="1"/>
  <c r="M44" i="20" s="1"/>
  <c r="M45" i="20" s="1"/>
  <c r="M46" i="20" s="1"/>
  <c r="M47" i="20" s="1"/>
  <c r="M48" i="20" s="1"/>
  <c r="M49" i="20" s="1"/>
  <c r="M50" i="20" s="1"/>
  <c r="M51" i="20" s="1"/>
  <c r="M52" i="20" s="1"/>
  <c r="M53" i="20" s="1"/>
  <c r="M54" i="20" s="1"/>
  <c r="M55" i="20" s="1"/>
  <c r="M56" i="20" s="1"/>
  <c r="M57" i="20" s="1"/>
  <c r="M58" i="20" s="1"/>
  <c r="M59" i="20" s="1"/>
  <c r="M60" i="20" s="1"/>
  <c r="M61" i="20" s="1"/>
  <c r="M62" i="20" s="1"/>
  <c r="M63" i="20" s="1"/>
  <c r="M64" i="20" s="1"/>
  <c r="M65" i="20" s="1"/>
  <c r="M66" i="20" s="1"/>
  <c r="M67" i="20" s="1"/>
  <c r="M68" i="20" s="1"/>
  <c r="M69" i="20" s="1"/>
  <c r="M70" i="20" s="1"/>
  <c r="M71" i="20" s="1"/>
  <c r="M72" i="20" s="1"/>
  <c r="M73" i="20" s="1"/>
  <c r="M74" i="20" s="1"/>
  <c r="M75" i="20" s="1"/>
  <c r="M76" i="20" s="1"/>
  <c r="M77" i="20" s="1"/>
  <c r="M78" i="20" s="1"/>
  <c r="M79" i="20" s="1"/>
  <c r="M80" i="20" s="1"/>
  <c r="M81" i="20" s="1"/>
  <c r="M82" i="20" s="1"/>
  <c r="M83" i="20" s="1"/>
  <c r="M84" i="20" s="1"/>
  <c r="M85" i="20" s="1"/>
  <c r="M86" i="20" s="1"/>
  <c r="M87" i="20" s="1"/>
  <c r="M88" i="20" s="1"/>
  <c r="M89" i="20" s="1"/>
  <c r="M90" i="20" s="1"/>
  <c r="M91" i="20" s="1"/>
  <c r="M92" i="20" s="1"/>
  <c r="M93" i="20" s="1"/>
  <c r="M94" i="20" s="1"/>
  <c r="M95" i="20" s="1"/>
  <c r="M96" i="20" s="1"/>
  <c r="M97" i="20" s="1"/>
  <c r="M98" i="20" s="1"/>
  <c r="M99" i="20" s="1"/>
  <c r="M100" i="20" s="1"/>
  <c r="M101" i="20" s="1"/>
  <c r="M102" i="20" s="1"/>
  <c r="M103" i="20" s="1"/>
  <c r="M104" i="20" s="1"/>
  <c r="M105" i="20" s="1"/>
  <c r="M106" i="20" s="1"/>
  <c r="M107" i="20" s="1"/>
  <c r="M108" i="20" s="1"/>
  <c r="M109" i="20" s="1"/>
  <c r="M110" i="20" s="1"/>
  <c r="M111" i="20" s="1"/>
  <c r="M112" i="20" s="1"/>
  <c r="M113" i="20" s="1"/>
  <c r="M114" i="20" s="1"/>
  <c r="M115" i="20" s="1"/>
  <c r="M116" i="20" s="1"/>
  <c r="M117" i="20" s="1"/>
  <c r="M118" i="20" s="1"/>
  <c r="M119" i="20" s="1"/>
  <c r="M120" i="20" s="1"/>
  <c r="M121" i="20" s="1"/>
  <c r="M122" i="20" s="1"/>
  <c r="M123" i="20" s="1"/>
  <c r="M124" i="20" s="1"/>
  <c r="M125" i="20" s="1"/>
  <c r="M126" i="20" s="1"/>
  <c r="M127" i="20" s="1"/>
  <c r="M128" i="20" s="1"/>
  <c r="M129" i="20" s="1"/>
  <c r="M130" i="20" s="1"/>
  <c r="M131" i="20" s="1"/>
  <c r="M132" i="20" s="1"/>
  <c r="M133" i="20" s="1"/>
  <c r="M134" i="20" s="1"/>
  <c r="M135" i="20" s="1"/>
  <c r="M136" i="20" s="1"/>
  <c r="M137" i="20" s="1"/>
  <c r="M138" i="20" s="1"/>
  <c r="M139" i="20" s="1"/>
  <c r="M140" i="20" s="1"/>
  <c r="M141" i="20" s="1"/>
  <c r="M142" i="20" s="1"/>
  <c r="M143" i="20" s="1"/>
  <c r="M144" i="20" s="1"/>
  <c r="M145" i="20" s="1"/>
  <c r="M146" i="20" s="1"/>
  <c r="M147" i="20" s="1"/>
  <c r="M148" i="20" s="1"/>
  <c r="M149" i="20" s="1"/>
  <c r="M150" i="20" s="1"/>
  <c r="M151" i="20" s="1"/>
  <c r="M152" i="20" s="1"/>
  <c r="M153" i="20" s="1"/>
  <c r="M154" i="20" s="1"/>
  <c r="M155" i="20" s="1"/>
  <c r="M156" i="20" s="1"/>
  <c r="M157" i="20" s="1"/>
  <c r="M158" i="20" s="1"/>
  <c r="M159" i="20" s="1"/>
  <c r="M160" i="20" s="1"/>
  <c r="M161" i="20" s="1"/>
  <c r="M162" i="20" s="1"/>
  <c r="M163" i="20" s="1"/>
  <c r="M164" i="20" s="1"/>
  <c r="M165" i="20" s="1"/>
  <c r="M166" i="20" s="1"/>
  <c r="M167" i="20" s="1"/>
  <c r="M168" i="20" s="1"/>
  <c r="M169" i="20" s="1"/>
  <c r="M170" i="20" s="1"/>
  <c r="M171" i="20" s="1"/>
  <c r="M172" i="20" s="1"/>
  <c r="M173" i="20" s="1"/>
  <c r="M174" i="20" s="1"/>
  <c r="M175" i="20" s="1"/>
  <c r="M176" i="20" s="1"/>
  <c r="M177" i="20" s="1"/>
  <c r="M178" i="20" s="1"/>
  <c r="M179" i="20" s="1"/>
  <c r="M180" i="20" s="1"/>
  <c r="M181" i="20" s="1"/>
  <c r="M182" i="20" s="1"/>
  <c r="M183" i="20" s="1"/>
  <c r="M184" i="20" s="1"/>
  <c r="M185" i="20" s="1"/>
  <c r="M186" i="20" s="1"/>
  <c r="M187" i="20" s="1"/>
  <c r="M188" i="20" s="1"/>
  <c r="M189" i="20" s="1"/>
  <c r="M190" i="20" s="1"/>
  <c r="M191" i="20" s="1"/>
  <c r="M192" i="20" s="1"/>
  <c r="M193" i="20" s="1"/>
  <c r="M194" i="20" s="1"/>
  <c r="M195" i="20" s="1"/>
  <c r="M196" i="20" s="1"/>
  <c r="M197" i="20" s="1"/>
  <c r="M198" i="20" s="1"/>
  <c r="M199" i="20" s="1"/>
  <c r="M200" i="20" s="1"/>
  <c r="M201" i="20" s="1"/>
  <c r="M202" i="20" s="1"/>
  <c r="M203" i="20" s="1"/>
  <c r="M204" i="20" s="1"/>
  <c r="M205" i="20" s="1"/>
  <c r="M206" i="20" s="1"/>
  <c r="M207" i="20" s="1"/>
  <c r="M208" i="20" s="1"/>
  <c r="M209" i="20" s="1"/>
  <c r="M210" i="20" s="1"/>
  <c r="M211" i="20" s="1"/>
  <c r="M212" i="20" s="1"/>
  <c r="M213" i="20" s="1"/>
  <c r="M214" i="20" s="1"/>
  <c r="M215" i="20" s="1"/>
  <c r="M216" i="20" s="1"/>
  <c r="M217" i="20" s="1"/>
  <c r="M218" i="20" s="1"/>
  <c r="M219" i="20" s="1"/>
  <c r="M220" i="20" s="1"/>
  <c r="M221" i="20" s="1"/>
  <c r="M222" i="20" s="1"/>
  <c r="M223" i="20" s="1"/>
  <c r="M224" i="20" s="1"/>
  <c r="M225" i="20" s="1"/>
  <c r="M226" i="20" s="1"/>
  <c r="M227" i="20" s="1"/>
  <c r="M228" i="20" s="1"/>
  <c r="M229" i="20" s="1"/>
  <c r="M230" i="20" s="1"/>
  <c r="M231" i="20" s="1"/>
  <c r="M232" i="20" s="1"/>
  <c r="M233" i="20" s="1"/>
  <c r="M234" i="20" s="1"/>
  <c r="M235" i="20" s="1"/>
  <c r="M236" i="20" s="1"/>
  <c r="M237" i="20" s="1"/>
  <c r="M238" i="20" s="1"/>
  <c r="M239" i="20" s="1"/>
  <c r="M240" i="20" s="1"/>
  <c r="M241" i="20" s="1"/>
  <c r="M242" i="20" s="1"/>
  <c r="M243" i="20" s="1"/>
  <c r="M244" i="20" s="1"/>
  <c r="M245" i="20" s="1"/>
  <c r="M246" i="20" s="1"/>
  <c r="M247" i="20" s="1"/>
  <c r="M248" i="20" s="1"/>
  <c r="M249" i="20" s="1"/>
  <c r="M250" i="20" s="1"/>
  <c r="M251" i="20" s="1"/>
  <c r="M252" i="20" s="1"/>
  <c r="M253" i="20" s="1"/>
  <c r="M254" i="20" s="1"/>
  <c r="M255" i="20" s="1"/>
  <c r="M256" i="20" s="1"/>
  <c r="M257" i="20" s="1"/>
  <c r="M258" i="20" s="1"/>
  <c r="M259" i="20" s="1"/>
  <c r="M260" i="20" s="1"/>
  <c r="M261" i="20" s="1"/>
  <c r="M262" i="20" s="1"/>
  <c r="M263" i="20" s="1"/>
  <c r="M264" i="20" s="1"/>
  <c r="M265" i="20" s="1"/>
  <c r="M266" i="20" s="1"/>
  <c r="M267" i="20" s="1"/>
  <c r="M268" i="20" s="1"/>
  <c r="M269" i="20" s="1"/>
  <c r="M270" i="20" s="1"/>
  <c r="M271" i="20" s="1"/>
  <c r="M272" i="20" s="1"/>
  <c r="M273" i="20" s="1"/>
  <c r="M274" i="20" s="1"/>
  <c r="M275" i="20" s="1"/>
  <c r="M276" i="20" s="1"/>
  <c r="M277" i="20" s="1"/>
  <c r="M278" i="20" s="1"/>
  <c r="M279" i="20" s="1"/>
  <c r="M280" i="20" s="1"/>
  <c r="M281" i="20" s="1"/>
  <c r="M282" i="20" s="1"/>
  <c r="M283" i="20" s="1"/>
  <c r="M284" i="20" s="1"/>
  <c r="M285" i="20" s="1"/>
  <c r="M286" i="20" s="1"/>
  <c r="M287" i="20" s="1"/>
  <c r="M288" i="20" s="1"/>
  <c r="M289" i="20" s="1"/>
  <c r="M290" i="20" s="1"/>
  <c r="M291" i="20" s="1"/>
  <c r="M292" i="20" s="1"/>
  <c r="M293" i="20" s="1"/>
  <c r="M294" i="20" s="1"/>
  <c r="M295" i="20" s="1"/>
  <c r="M296" i="20" s="1"/>
  <c r="M297" i="20" s="1"/>
  <c r="M298" i="20" s="1"/>
  <c r="M299" i="20" s="1"/>
  <c r="M300" i="20" s="1"/>
  <c r="M301" i="20" s="1"/>
  <c r="M302" i="20" s="1"/>
  <c r="M303" i="20" s="1"/>
  <c r="M304" i="20" s="1"/>
  <c r="M305" i="20" s="1"/>
  <c r="M306" i="20" s="1"/>
  <c r="M307" i="20" s="1"/>
  <c r="M308" i="20" s="1"/>
  <c r="M309" i="20" s="1"/>
  <c r="M310" i="20" s="1"/>
  <c r="M311" i="20" s="1"/>
  <c r="M312" i="20" s="1"/>
  <c r="M313" i="20" s="1"/>
  <c r="M314" i="20" s="1"/>
  <c r="M315" i="20" s="1"/>
  <c r="M316" i="20" s="1"/>
  <c r="M317" i="20" s="1"/>
  <c r="M318" i="20" s="1"/>
  <c r="M319" i="20" s="1"/>
  <c r="M320" i="20" s="1"/>
  <c r="M321" i="20" s="1"/>
  <c r="M322" i="20" s="1"/>
  <c r="M323" i="20" s="1"/>
  <c r="M324" i="20" s="1"/>
  <c r="M325" i="20" s="1"/>
  <c r="M326" i="20" s="1"/>
  <c r="M327" i="20" s="1"/>
  <c r="M328" i="20" s="1"/>
  <c r="M329" i="20" s="1"/>
  <c r="M330" i="20" s="1"/>
  <c r="M331" i="20" s="1"/>
  <c r="M332" i="20" s="1"/>
  <c r="M333" i="20" s="1"/>
  <c r="M334" i="20" s="1"/>
  <c r="M335" i="20" s="1"/>
  <c r="M336" i="20" s="1"/>
  <c r="M337" i="20" s="1"/>
  <c r="M338" i="20" s="1"/>
  <c r="M339" i="20" s="1"/>
  <c r="M340" i="20" s="1"/>
  <c r="M341" i="20" s="1"/>
  <c r="M342" i="20" s="1"/>
  <c r="M343" i="20" s="1"/>
  <c r="M344" i="20" s="1"/>
  <c r="M345" i="20" s="1"/>
  <c r="M346" i="20" s="1"/>
  <c r="M347" i="20" s="1"/>
  <c r="M348" i="20" s="1"/>
  <c r="M349" i="20" s="1"/>
  <c r="M350" i="20" s="1"/>
  <c r="M351" i="20" s="1"/>
  <c r="M352" i="20" s="1"/>
  <c r="M353" i="20" s="1"/>
  <c r="M354" i="20" s="1"/>
  <c r="M355" i="20" s="1"/>
  <c r="M356" i="20" s="1"/>
  <c r="M357" i="20" s="1"/>
  <c r="M358" i="20" s="1"/>
  <c r="M359" i="20" s="1"/>
  <c r="M360" i="20" s="1"/>
  <c r="M361" i="20" s="1"/>
  <c r="M362" i="20" s="1"/>
  <c r="M363" i="20" s="1"/>
  <c r="M364" i="20" s="1"/>
  <c r="M365" i="20" s="1"/>
  <c r="M366" i="20" s="1"/>
  <c r="M367" i="20" s="1"/>
  <c r="M368" i="20" s="1"/>
  <c r="M369" i="20" s="1"/>
  <c r="M370" i="20" s="1"/>
  <c r="M371" i="20" s="1"/>
  <c r="M372" i="20" s="1"/>
  <c r="M373" i="20" s="1"/>
  <c r="M374" i="20" s="1"/>
  <c r="M375" i="20" s="1"/>
  <c r="M376" i="20" s="1"/>
  <c r="M377" i="20" s="1"/>
  <c r="M378" i="20" s="1"/>
  <c r="M379" i="20" s="1"/>
  <c r="M380" i="20" s="1"/>
  <c r="M381" i="20" s="1"/>
  <c r="M382" i="20" s="1"/>
  <c r="M383" i="20" s="1"/>
  <c r="M384" i="20" s="1"/>
  <c r="M385" i="20" s="1"/>
  <c r="M386" i="20" s="1"/>
  <c r="M387" i="20" s="1"/>
  <c r="M388" i="20" s="1"/>
  <c r="M389" i="20" s="1"/>
  <c r="M390" i="20" s="1"/>
  <c r="M391" i="20" s="1"/>
  <c r="M392" i="20" s="1"/>
  <c r="M393" i="20" s="1"/>
  <c r="M394" i="20" s="1"/>
  <c r="M395" i="20" s="1"/>
  <c r="M396" i="20" s="1"/>
  <c r="M397" i="20" s="1"/>
  <c r="M398" i="20" s="1"/>
  <c r="M399" i="20" s="1"/>
  <c r="M400" i="20" s="1"/>
  <c r="M401" i="20" s="1"/>
  <c r="M402" i="20" s="1"/>
  <c r="M403" i="20" s="1"/>
  <c r="M404" i="20" s="1"/>
  <c r="M405" i="20" s="1"/>
  <c r="M406" i="20" s="1"/>
  <c r="M407" i="20" s="1"/>
  <c r="M408" i="20" s="1"/>
  <c r="M409" i="20" s="1"/>
  <c r="M410" i="20" s="1"/>
  <c r="M411" i="20" s="1"/>
  <c r="M412" i="20" s="1"/>
  <c r="M413" i="20" s="1"/>
  <c r="M414" i="20" s="1"/>
  <c r="M415" i="20" s="1"/>
  <c r="M416" i="20" s="1"/>
  <c r="M417" i="20" s="1"/>
  <c r="M418" i="20" s="1"/>
  <c r="M419" i="20" s="1"/>
  <c r="M420" i="20" s="1"/>
  <c r="M421" i="20" s="1"/>
  <c r="M422" i="20" s="1"/>
  <c r="M423" i="20" s="1"/>
  <c r="M424" i="20" s="1"/>
  <c r="M425" i="20" s="1"/>
  <c r="M426" i="20" s="1"/>
  <c r="M427" i="20" s="1"/>
  <c r="M428" i="20" s="1"/>
  <c r="M429" i="20" s="1"/>
  <c r="M430" i="20" s="1"/>
  <c r="M431" i="20" s="1"/>
  <c r="M432" i="20" s="1"/>
  <c r="M433" i="20" s="1"/>
  <c r="M434" i="20" s="1"/>
  <c r="M435" i="20" s="1"/>
  <c r="M436" i="20" s="1"/>
  <c r="M437" i="20" s="1"/>
  <c r="M438" i="20" s="1"/>
  <c r="M439" i="20" s="1"/>
  <c r="M440" i="20" s="1"/>
  <c r="M441" i="20" s="1"/>
  <c r="M442" i="20" s="1"/>
  <c r="M443" i="20" s="1"/>
  <c r="M444" i="20" s="1"/>
  <c r="M445" i="20" s="1"/>
  <c r="M446" i="20" s="1"/>
  <c r="M447" i="20" s="1"/>
  <c r="M448" i="20" s="1"/>
  <c r="M449" i="20" s="1"/>
  <c r="M450" i="20" s="1"/>
  <c r="M451" i="20" s="1"/>
  <c r="M452" i="20" s="1"/>
  <c r="M453" i="20" s="1"/>
  <c r="M454" i="20" s="1"/>
  <c r="M455" i="20" s="1"/>
  <c r="M456" i="20" s="1"/>
  <c r="M457" i="20" s="1"/>
  <c r="M458" i="20" s="1"/>
  <c r="M459" i="20" s="1"/>
  <c r="M460" i="20" s="1"/>
  <c r="M461" i="20" s="1"/>
  <c r="M462" i="20" s="1"/>
  <c r="M463" i="20" s="1"/>
  <c r="M464" i="20" s="1"/>
  <c r="M465" i="20" s="1"/>
  <c r="M466" i="20" s="1"/>
  <c r="M467" i="20" s="1"/>
  <c r="M468" i="20" s="1"/>
  <c r="M469" i="20" s="1"/>
  <c r="M470" i="20" s="1"/>
  <c r="M471" i="20" s="1"/>
  <c r="M472" i="20" s="1"/>
  <c r="M473" i="20" s="1"/>
  <c r="M474" i="20" s="1"/>
  <c r="M475" i="20" s="1"/>
  <c r="M476" i="20" s="1"/>
  <c r="M477" i="20" s="1"/>
  <c r="M478" i="20" s="1"/>
  <c r="M479" i="20" s="1"/>
  <c r="M480" i="20" s="1"/>
  <c r="M481" i="20" s="1"/>
  <c r="M482" i="20" s="1"/>
  <c r="M483" i="20" s="1"/>
  <c r="M484" i="20" s="1"/>
  <c r="M485" i="20" s="1"/>
  <c r="M486" i="20" s="1"/>
  <c r="P6" i="20"/>
  <c r="E424" i="20"/>
  <c r="E423" i="20" s="1"/>
  <c r="E422" i="20" s="1"/>
  <c r="E421" i="20" s="1"/>
  <c r="E420" i="20" s="1"/>
  <c r="E419" i="20" s="1"/>
  <c r="E418" i="20" s="1"/>
  <c r="E417" i="20" s="1"/>
  <c r="E416" i="20" s="1"/>
  <c r="E415" i="20" s="1"/>
  <c r="E414" i="20" s="1"/>
  <c r="E413" i="20" s="1"/>
  <c r="E412" i="20" s="1"/>
  <c r="E411" i="20" s="1"/>
  <c r="E410" i="20" s="1"/>
  <c r="E409" i="20" s="1"/>
  <c r="E408" i="20" s="1"/>
  <c r="E407" i="20" s="1"/>
  <c r="E406" i="20" s="1"/>
  <c r="E405" i="20" s="1"/>
  <c r="E404" i="20" s="1"/>
  <c r="E403" i="20" s="1"/>
  <c r="E402" i="20" s="1"/>
  <c r="E401" i="20" s="1"/>
  <c r="E400" i="20" s="1"/>
  <c r="E399" i="20" s="1"/>
  <c r="E398" i="20" s="1"/>
  <c r="E397" i="20" s="1"/>
  <c r="E396" i="20" s="1"/>
  <c r="E395" i="20" s="1"/>
  <c r="E394" i="20" s="1"/>
  <c r="E393" i="20" s="1"/>
  <c r="E392" i="20" s="1"/>
  <c r="E391" i="20" s="1"/>
  <c r="E390" i="20" s="1"/>
  <c r="E389" i="20" s="1"/>
  <c r="E388" i="20" s="1"/>
  <c r="E387" i="20" s="1"/>
  <c r="E386" i="20" s="1"/>
  <c r="E385" i="20" s="1"/>
  <c r="E384" i="20" s="1"/>
  <c r="E383" i="20" s="1"/>
  <c r="E382" i="20" s="1"/>
  <c r="E381" i="20" s="1"/>
  <c r="E380" i="20" s="1"/>
  <c r="E379" i="20" s="1"/>
  <c r="E378" i="20" s="1"/>
  <c r="E377" i="20" s="1"/>
  <c r="E376" i="20" s="1"/>
  <c r="E375" i="20" s="1"/>
  <c r="E374" i="20" s="1"/>
  <c r="E373" i="20" s="1"/>
  <c r="E372" i="20" s="1"/>
  <c r="E371" i="20" s="1"/>
  <c r="E370" i="20" s="1"/>
  <c r="E369" i="20" s="1"/>
  <c r="E368" i="20" s="1"/>
  <c r="E367" i="20" s="1"/>
  <c r="E366" i="20" s="1"/>
  <c r="A391" i="20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K379" i="20"/>
  <c r="K380" i="20" s="1"/>
  <c r="K381" i="20" s="1"/>
  <c r="K382" i="20" s="1"/>
  <c r="K383" i="20" s="1"/>
  <c r="K384" i="20" s="1"/>
  <c r="K385" i="20" s="1"/>
  <c r="K386" i="20" s="1"/>
  <c r="K387" i="20" s="1"/>
  <c r="K388" i="20" s="1"/>
  <c r="K389" i="20" s="1"/>
  <c r="K390" i="20" s="1"/>
  <c r="K391" i="20" s="1"/>
  <c r="K392" i="20" s="1"/>
  <c r="K393" i="20" s="1"/>
  <c r="K394" i="20" s="1"/>
  <c r="K395" i="20" s="1"/>
  <c r="K396" i="20" s="1"/>
  <c r="K397" i="20" s="1"/>
  <c r="K398" i="20" s="1"/>
  <c r="K399" i="20" s="1"/>
  <c r="K400" i="20" s="1"/>
  <c r="K401" i="20" s="1"/>
  <c r="K402" i="20" s="1"/>
  <c r="K403" i="20" s="1"/>
  <c r="K404" i="20" s="1"/>
  <c r="K405" i="20" s="1"/>
  <c r="K406" i="20" s="1"/>
  <c r="K407" i="20" s="1"/>
  <c r="K408" i="20" s="1"/>
  <c r="K409" i="20" s="1"/>
  <c r="K410" i="20" s="1"/>
  <c r="K411" i="20" s="1"/>
  <c r="K412" i="20" s="1"/>
  <c r="K413" i="20" s="1"/>
  <c r="K414" i="20" s="1"/>
  <c r="K415" i="20" s="1"/>
  <c r="K416" i="20" s="1"/>
  <c r="K417" i="20" s="1"/>
  <c r="K418" i="20" s="1"/>
  <c r="K419" i="20" s="1"/>
  <c r="K420" i="20" s="1"/>
  <c r="K421" i="20" s="1"/>
  <c r="K422" i="20" s="1"/>
  <c r="K423" i="20" s="1"/>
  <c r="K424" i="20" s="1"/>
  <c r="K425" i="20" s="1"/>
  <c r="K426" i="20" s="1"/>
  <c r="K427" i="20" s="1"/>
  <c r="K428" i="20" s="1"/>
  <c r="K429" i="20" s="1"/>
  <c r="K430" i="20" s="1"/>
  <c r="K431" i="20" s="1"/>
  <c r="K432" i="20" s="1"/>
  <c r="K433" i="20" s="1"/>
  <c r="K434" i="20" s="1"/>
  <c r="K435" i="20" s="1"/>
  <c r="K436" i="20" s="1"/>
  <c r="K437" i="20" s="1"/>
  <c r="A331" i="20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P293" i="20"/>
  <c r="P305" i="20" s="1"/>
  <c r="P317" i="20" s="1"/>
  <c r="P329" i="20" s="1"/>
  <c r="P341" i="20" s="1"/>
  <c r="P353" i="20" s="1"/>
  <c r="P365" i="20" s="1"/>
  <c r="P377" i="20" s="1"/>
  <c r="P389" i="20" s="1"/>
  <c r="P401" i="20" s="1"/>
  <c r="P413" i="20" s="1"/>
  <c r="P425" i="20" s="1"/>
  <c r="P437" i="20" s="1"/>
  <c r="P449" i="20" s="1"/>
  <c r="A271" i="20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K259" i="20"/>
  <c r="K260" i="20" s="1"/>
  <c r="K261" i="20" s="1"/>
  <c r="K262" i="20" s="1"/>
  <c r="K263" i="20" s="1"/>
  <c r="K264" i="20" s="1"/>
  <c r="K265" i="20" s="1"/>
  <c r="K266" i="20" s="1"/>
  <c r="K267" i="20" s="1"/>
  <c r="K268" i="20" s="1"/>
  <c r="K269" i="20" s="1"/>
  <c r="K270" i="20" s="1"/>
  <c r="K271" i="20" s="1"/>
  <c r="K272" i="20" s="1"/>
  <c r="K273" i="20" s="1"/>
  <c r="K274" i="20" s="1"/>
  <c r="K275" i="20" s="1"/>
  <c r="K276" i="20" s="1"/>
  <c r="K277" i="20" s="1"/>
  <c r="K278" i="20" s="1"/>
  <c r="K279" i="20" s="1"/>
  <c r="K280" i="20" s="1"/>
  <c r="K281" i="20" s="1"/>
  <c r="K282" i="20" s="1"/>
  <c r="K283" i="20" s="1"/>
  <c r="K284" i="20" s="1"/>
  <c r="K285" i="20" s="1"/>
  <c r="K286" i="20" s="1"/>
  <c r="K287" i="20" s="1"/>
  <c r="K288" i="20" s="1"/>
  <c r="K289" i="20" s="1"/>
  <c r="K290" i="20" s="1"/>
  <c r="K291" i="20" s="1"/>
  <c r="K292" i="20" s="1"/>
  <c r="K293" i="20" s="1"/>
  <c r="K294" i="20" s="1"/>
  <c r="K295" i="20" s="1"/>
  <c r="K296" i="20" s="1"/>
  <c r="K297" i="20" s="1"/>
  <c r="K298" i="20" s="1"/>
  <c r="K299" i="20" s="1"/>
  <c r="K300" i="20" s="1"/>
  <c r="K301" i="20" s="1"/>
  <c r="K302" i="20" s="1"/>
  <c r="K303" i="20" s="1"/>
  <c r="K304" i="20" s="1"/>
  <c r="K305" i="20" s="1"/>
  <c r="K306" i="20" s="1"/>
  <c r="K307" i="20" s="1"/>
  <c r="K308" i="20" s="1"/>
  <c r="K309" i="20" s="1"/>
  <c r="K310" i="20" s="1"/>
  <c r="K311" i="20" s="1"/>
  <c r="K312" i="20" s="1"/>
  <c r="K313" i="20" s="1"/>
  <c r="K314" i="20" s="1"/>
  <c r="K315" i="20" s="1"/>
  <c r="K316" i="20" s="1"/>
  <c r="K317" i="20" s="1"/>
  <c r="E259" i="20"/>
  <c r="E260" i="20" s="1"/>
  <c r="E261" i="20" s="1"/>
  <c r="E262" i="20" s="1"/>
  <c r="E263" i="20" s="1"/>
  <c r="E264" i="20" s="1"/>
  <c r="E265" i="20" s="1"/>
  <c r="E266" i="20" s="1"/>
  <c r="E267" i="20" s="1"/>
  <c r="E268" i="20" s="1"/>
  <c r="E269" i="20" s="1"/>
  <c r="E270" i="20" s="1"/>
  <c r="E271" i="20" s="1"/>
  <c r="E272" i="20" s="1"/>
  <c r="E273" i="20" s="1"/>
  <c r="E274" i="20" s="1"/>
  <c r="E275" i="20" s="1"/>
  <c r="E276" i="20" s="1"/>
  <c r="E277" i="20" s="1"/>
  <c r="E278" i="20" s="1"/>
  <c r="E279" i="20" s="1"/>
  <c r="E280" i="20" s="1"/>
  <c r="E281" i="20" s="1"/>
  <c r="E282" i="20" s="1"/>
  <c r="E283" i="20" s="1"/>
  <c r="E284" i="20" s="1"/>
  <c r="E285" i="20" s="1"/>
  <c r="E286" i="20" s="1"/>
  <c r="E287" i="20" s="1"/>
  <c r="E288" i="20" s="1"/>
  <c r="E289" i="20" s="1"/>
  <c r="E290" i="20" s="1"/>
  <c r="E291" i="20" s="1"/>
  <c r="E292" i="20" s="1"/>
  <c r="E293" i="20" s="1"/>
  <c r="E294" i="20" s="1"/>
  <c r="E295" i="20" s="1"/>
  <c r="E296" i="20" s="1"/>
  <c r="E297" i="20" s="1"/>
  <c r="E298" i="20" s="1"/>
  <c r="E299" i="20" s="1"/>
  <c r="E300" i="20" s="1"/>
  <c r="E301" i="20" s="1"/>
  <c r="E302" i="20" s="1"/>
  <c r="E303" i="20" s="1"/>
  <c r="E304" i="20" s="1"/>
  <c r="E305" i="20" s="1"/>
  <c r="E306" i="20" s="1"/>
  <c r="E307" i="20" s="1"/>
  <c r="E308" i="20" s="1"/>
  <c r="E309" i="20" s="1"/>
  <c r="E310" i="20" s="1"/>
  <c r="E311" i="20" s="1"/>
  <c r="E312" i="20" s="1"/>
  <c r="E313" i="20" s="1"/>
  <c r="E314" i="20" s="1"/>
  <c r="E315" i="20" s="1"/>
  <c r="E316" i="20" s="1"/>
  <c r="E317" i="20" s="1"/>
  <c r="S211" i="20"/>
  <c r="S212" i="20" s="1"/>
  <c r="S213" i="20" s="1"/>
  <c r="S214" i="20" s="1"/>
  <c r="S215" i="20" s="1"/>
  <c r="S216" i="20" s="1"/>
  <c r="S217" i="20" s="1"/>
  <c r="S218" i="20" s="1"/>
  <c r="S219" i="20" s="1"/>
  <c r="S220" i="20" s="1"/>
  <c r="S221" i="20" s="1"/>
  <c r="S222" i="20" s="1"/>
  <c r="S223" i="20" s="1"/>
  <c r="S224" i="20" s="1"/>
  <c r="S225" i="20" s="1"/>
  <c r="S226" i="20" s="1"/>
  <c r="S227" i="20" s="1"/>
  <c r="S228" i="20" s="1"/>
  <c r="S229" i="20" s="1"/>
  <c r="S230" i="20" s="1"/>
  <c r="S231" i="20" s="1"/>
  <c r="S232" i="20" s="1"/>
  <c r="S233" i="20" s="1"/>
  <c r="S234" i="20" s="1"/>
  <c r="S235" i="20" s="1"/>
  <c r="S236" i="20" s="1"/>
  <c r="S237" i="20" s="1"/>
  <c r="S238" i="20" s="1"/>
  <c r="S239" i="20" s="1"/>
  <c r="S240" i="20" s="1"/>
  <c r="S241" i="20" s="1"/>
  <c r="S242" i="20" s="1"/>
  <c r="S243" i="20" s="1"/>
  <c r="S244" i="20" s="1"/>
  <c r="S245" i="20" s="1"/>
  <c r="S246" i="20" s="1"/>
  <c r="S247" i="20" s="1"/>
  <c r="S248" i="20" s="1"/>
  <c r="S249" i="20" s="1"/>
  <c r="S250" i="20" s="1"/>
  <c r="S251" i="20" s="1"/>
  <c r="S252" i="20" s="1"/>
  <c r="S253" i="20" s="1"/>
  <c r="S254" i="20" s="1"/>
  <c r="S255" i="20" s="1"/>
  <c r="S256" i="20" s="1"/>
  <c r="S257" i="20" s="1"/>
  <c r="S258" i="20" s="1"/>
  <c r="S259" i="20" s="1"/>
  <c r="S260" i="20" s="1"/>
  <c r="S261" i="20" s="1"/>
  <c r="S262" i="20" s="1"/>
  <c r="S263" i="20" s="1"/>
  <c r="S264" i="20" s="1"/>
  <c r="S265" i="20" s="1"/>
  <c r="S266" i="20" s="1"/>
  <c r="S267" i="20" s="1"/>
  <c r="S268" i="20" s="1"/>
  <c r="S269" i="20" s="1"/>
  <c r="S270" i="20" s="1"/>
  <c r="S271" i="20" s="1"/>
  <c r="S272" i="20" s="1"/>
  <c r="S273" i="20" s="1"/>
  <c r="S274" i="20" s="1"/>
  <c r="S275" i="20" s="1"/>
  <c r="S276" i="20" s="1"/>
  <c r="S277" i="20" s="1"/>
  <c r="S278" i="20" s="1"/>
  <c r="S279" i="20" s="1"/>
  <c r="S280" i="20" s="1"/>
  <c r="S281" i="20" s="1"/>
  <c r="S282" i="20" s="1"/>
  <c r="S283" i="20" s="1"/>
  <c r="S284" i="20" s="1"/>
  <c r="S285" i="20" s="1"/>
  <c r="S286" i="20" s="1"/>
  <c r="S287" i="20" s="1"/>
  <c r="S288" i="20" s="1"/>
  <c r="S289" i="20" s="1"/>
  <c r="S290" i="20" s="1"/>
  <c r="S291" i="20" s="1"/>
  <c r="S292" i="20" s="1"/>
  <c r="S293" i="20" s="1"/>
  <c r="S294" i="20" s="1"/>
  <c r="S295" i="20" s="1"/>
  <c r="S296" i="20" s="1"/>
  <c r="S297" i="20" s="1"/>
  <c r="S298" i="20" s="1"/>
  <c r="S299" i="20" s="1"/>
  <c r="S300" i="20" s="1"/>
  <c r="S301" i="20" s="1"/>
  <c r="S302" i="20" s="1"/>
  <c r="S303" i="20" s="1"/>
  <c r="S304" i="20" s="1"/>
  <c r="S305" i="20" s="1"/>
  <c r="S306" i="20" s="1"/>
  <c r="S307" i="20" s="1"/>
  <c r="S308" i="20" s="1"/>
  <c r="S309" i="20" s="1"/>
  <c r="S310" i="20" s="1"/>
  <c r="S311" i="20" s="1"/>
  <c r="S312" i="20" s="1"/>
  <c r="S313" i="20" s="1"/>
  <c r="S314" i="20" s="1"/>
  <c r="S315" i="20" s="1"/>
  <c r="S316" i="20" s="1"/>
  <c r="S317" i="20" s="1"/>
  <c r="S318" i="20" s="1"/>
  <c r="S319" i="20" s="1"/>
  <c r="S320" i="20" s="1"/>
  <c r="S321" i="20" s="1"/>
  <c r="S322" i="20" s="1"/>
  <c r="S323" i="20" s="1"/>
  <c r="S324" i="20" s="1"/>
  <c r="S325" i="20" s="1"/>
  <c r="S326" i="20" s="1"/>
  <c r="S327" i="20" s="1"/>
  <c r="S328" i="20" s="1"/>
  <c r="S329" i="20" s="1"/>
  <c r="S330" i="20" s="1"/>
  <c r="S331" i="20" s="1"/>
  <c r="S332" i="20" s="1"/>
  <c r="S333" i="20" s="1"/>
  <c r="S334" i="20" s="1"/>
  <c r="S335" i="20" s="1"/>
  <c r="S336" i="20" s="1"/>
  <c r="S337" i="20" s="1"/>
  <c r="S338" i="20" s="1"/>
  <c r="S339" i="20" s="1"/>
  <c r="S340" i="20" s="1"/>
  <c r="S341" i="20" s="1"/>
  <c r="S342" i="20" s="1"/>
  <c r="S343" i="20" s="1"/>
  <c r="S344" i="20" s="1"/>
  <c r="S345" i="20" s="1"/>
  <c r="S346" i="20" s="1"/>
  <c r="S347" i="20" s="1"/>
  <c r="S348" i="20" s="1"/>
  <c r="S349" i="20" s="1"/>
  <c r="S350" i="20" s="1"/>
  <c r="S351" i="20" s="1"/>
  <c r="S352" i="20" s="1"/>
  <c r="S353" i="20" s="1"/>
  <c r="S354" i="20" s="1"/>
  <c r="S355" i="20" s="1"/>
  <c r="S356" i="20" s="1"/>
  <c r="S357" i="20" s="1"/>
  <c r="S358" i="20" s="1"/>
  <c r="S359" i="20" s="1"/>
  <c r="S360" i="20" s="1"/>
  <c r="S361" i="20" s="1"/>
  <c r="S362" i="20" s="1"/>
  <c r="S363" i="20" s="1"/>
  <c r="S364" i="20" s="1"/>
  <c r="S365" i="20" s="1"/>
  <c r="S366" i="20" s="1"/>
  <c r="S367" i="20" s="1"/>
  <c r="S368" i="20" s="1"/>
  <c r="S369" i="20" s="1"/>
  <c r="S370" i="20" s="1"/>
  <c r="S371" i="20" s="1"/>
  <c r="S372" i="20" s="1"/>
  <c r="S373" i="20" s="1"/>
  <c r="S374" i="20" s="1"/>
  <c r="S375" i="20" s="1"/>
  <c r="S376" i="20" s="1"/>
  <c r="S377" i="20" s="1"/>
  <c r="S378" i="20" s="1"/>
  <c r="S379" i="20" s="1"/>
  <c r="S380" i="20" s="1"/>
  <c r="S381" i="20" s="1"/>
  <c r="S382" i="20" s="1"/>
  <c r="S383" i="20" s="1"/>
  <c r="S384" i="20" s="1"/>
  <c r="S385" i="20" s="1"/>
  <c r="S386" i="20" s="1"/>
  <c r="S387" i="20" s="1"/>
  <c r="S388" i="20" s="1"/>
  <c r="S389" i="20" s="1"/>
  <c r="S390" i="20" s="1"/>
  <c r="S391" i="20" s="1"/>
  <c r="S392" i="20" s="1"/>
  <c r="S393" i="20" s="1"/>
  <c r="S394" i="20" s="1"/>
  <c r="S395" i="20" s="1"/>
  <c r="S396" i="20" s="1"/>
  <c r="S397" i="20" s="1"/>
  <c r="S398" i="20" s="1"/>
  <c r="S399" i="20" s="1"/>
  <c r="S400" i="20" s="1"/>
  <c r="S401" i="20" s="1"/>
  <c r="S402" i="20" s="1"/>
  <c r="S403" i="20" s="1"/>
  <c r="S404" i="20" s="1"/>
  <c r="S405" i="20" s="1"/>
  <c r="S406" i="20" s="1"/>
  <c r="S407" i="20" s="1"/>
  <c r="S408" i="20" s="1"/>
  <c r="S409" i="20" s="1"/>
  <c r="S410" i="20" s="1"/>
  <c r="S411" i="20" s="1"/>
  <c r="S412" i="20" s="1"/>
  <c r="S413" i="20" s="1"/>
  <c r="S414" i="20" s="1"/>
  <c r="S415" i="20" s="1"/>
  <c r="S416" i="20" s="1"/>
  <c r="S417" i="20" s="1"/>
  <c r="S418" i="20" s="1"/>
  <c r="S419" i="20" s="1"/>
  <c r="S420" i="20" s="1"/>
  <c r="S421" i="20" s="1"/>
  <c r="S422" i="20" s="1"/>
  <c r="S423" i="20" s="1"/>
  <c r="S424" i="20" s="1"/>
  <c r="S425" i="20" s="1"/>
  <c r="S426" i="20" s="1"/>
  <c r="S427" i="20" s="1"/>
  <c r="S428" i="20" s="1"/>
  <c r="S429" i="20" s="1"/>
  <c r="S430" i="20" s="1"/>
  <c r="S431" i="20" s="1"/>
  <c r="S432" i="20" s="1"/>
  <c r="S433" i="20" s="1"/>
  <c r="S434" i="20" s="1"/>
  <c r="S435" i="20" s="1"/>
  <c r="S436" i="20" s="1"/>
  <c r="S437" i="20" s="1"/>
  <c r="A211" i="20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K199" i="20"/>
  <c r="K200" i="20" s="1"/>
  <c r="K201" i="20" s="1"/>
  <c r="K202" i="20" s="1"/>
  <c r="K203" i="20" s="1"/>
  <c r="K204" i="20" s="1"/>
  <c r="K205" i="20" s="1"/>
  <c r="K206" i="20" s="1"/>
  <c r="K207" i="20" s="1"/>
  <c r="K208" i="20" s="1"/>
  <c r="K209" i="20" s="1"/>
  <c r="K210" i="20" s="1"/>
  <c r="K211" i="20" s="1"/>
  <c r="K212" i="20" s="1"/>
  <c r="K213" i="20" s="1"/>
  <c r="K214" i="20" s="1"/>
  <c r="K215" i="20" s="1"/>
  <c r="K216" i="20" s="1"/>
  <c r="K217" i="20" s="1"/>
  <c r="K218" i="20" s="1"/>
  <c r="K219" i="20" s="1"/>
  <c r="K220" i="20" s="1"/>
  <c r="K221" i="20" s="1"/>
  <c r="K222" i="20" s="1"/>
  <c r="K223" i="20" s="1"/>
  <c r="K224" i="20" s="1"/>
  <c r="K225" i="20" s="1"/>
  <c r="K226" i="20" s="1"/>
  <c r="K227" i="20" s="1"/>
  <c r="K228" i="20" s="1"/>
  <c r="K229" i="20" s="1"/>
  <c r="K230" i="20" s="1"/>
  <c r="K231" i="20" s="1"/>
  <c r="K232" i="20" s="1"/>
  <c r="K233" i="20" s="1"/>
  <c r="K234" i="20" s="1"/>
  <c r="K235" i="20" s="1"/>
  <c r="K236" i="20" s="1"/>
  <c r="K237" i="20" s="1"/>
  <c r="K238" i="20" s="1"/>
  <c r="K239" i="20" s="1"/>
  <c r="K240" i="20" s="1"/>
  <c r="K241" i="20" s="1"/>
  <c r="K242" i="20" s="1"/>
  <c r="K243" i="20" s="1"/>
  <c r="K244" i="20" s="1"/>
  <c r="K245" i="20" s="1"/>
  <c r="K246" i="20" s="1"/>
  <c r="K247" i="20" s="1"/>
  <c r="K248" i="20" s="1"/>
  <c r="K249" i="20" s="1"/>
  <c r="K250" i="20" s="1"/>
  <c r="K251" i="20" s="1"/>
  <c r="K252" i="20" s="1"/>
  <c r="K253" i="20" s="1"/>
  <c r="K254" i="20" s="1"/>
  <c r="K255" i="20" s="1"/>
  <c r="K256" i="20" s="1"/>
  <c r="K257" i="20" s="1"/>
  <c r="P161" i="20"/>
  <c r="P173" i="20" s="1"/>
  <c r="P185" i="20" s="1"/>
  <c r="P197" i="20" s="1"/>
  <c r="P209" i="20" s="1"/>
  <c r="P221" i="20" s="1"/>
  <c r="P233" i="20" s="1"/>
  <c r="P245" i="20" s="1"/>
  <c r="P257" i="20" s="1"/>
  <c r="P269" i="20" s="1"/>
  <c r="A151" i="20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K139" i="20"/>
  <c r="K140" i="20" s="1"/>
  <c r="K141" i="20" s="1"/>
  <c r="K142" i="20" s="1"/>
  <c r="K143" i="20" s="1"/>
  <c r="K144" i="20" s="1"/>
  <c r="K145" i="20" s="1"/>
  <c r="K146" i="20" s="1"/>
  <c r="K147" i="20" s="1"/>
  <c r="K148" i="20" s="1"/>
  <c r="K149" i="20" s="1"/>
  <c r="K150" i="20" s="1"/>
  <c r="K151" i="20" s="1"/>
  <c r="K152" i="20" s="1"/>
  <c r="K153" i="20" s="1"/>
  <c r="K154" i="20" s="1"/>
  <c r="K155" i="20" s="1"/>
  <c r="K156" i="20" s="1"/>
  <c r="K157" i="20" s="1"/>
  <c r="K158" i="20" s="1"/>
  <c r="K159" i="20" s="1"/>
  <c r="K160" i="20" s="1"/>
  <c r="K161" i="20" s="1"/>
  <c r="K162" i="20" s="1"/>
  <c r="K163" i="20" s="1"/>
  <c r="K164" i="20" s="1"/>
  <c r="K165" i="20" s="1"/>
  <c r="K166" i="20" s="1"/>
  <c r="K167" i="20" s="1"/>
  <c r="K168" i="20" s="1"/>
  <c r="K169" i="20" s="1"/>
  <c r="K170" i="20" s="1"/>
  <c r="K171" i="20" s="1"/>
  <c r="K172" i="20" s="1"/>
  <c r="K173" i="20" s="1"/>
  <c r="K174" i="20" s="1"/>
  <c r="K175" i="20" s="1"/>
  <c r="K176" i="20" s="1"/>
  <c r="K177" i="20" s="1"/>
  <c r="K178" i="20" s="1"/>
  <c r="K179" i="20" s="1"/>
  <c r="K180" i="20" s="1"/>
  <c r="K181" i="20" s="1"/>
  <c r="K182" i="20" s="1"/>
  <c r="K183" i="20" s="1"/>
  <c r="K184" i="20" s="1"/>
  <c r="K185" i="20" s="1"/>
  <c r="K186" i="20" s="1"/>
  <c r="K187" i="20" s="1"/>
  <c r="K188" i="20" s="1"/>
  <c r="K189" i="20" s="1"/>
  <c r="K190" i="20" s="1"/>
  <c r="K191" i="20" s="1"/>
  <c r="K192" i="20" s="1"/>
  <c r="K193" i="20" s="1"/>
  <c r="K194" i="20" s="1"/>
  <c r="K195" i="20" s="1"/>
  <c r="K196" i="20" s="1"/>
  <c r="K197" i="20" s="1"/>
  <c r="A91" i="20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K79" i="20"/>
  <c r="K80" i="20" s="1"/>
  <c r="K81" i="20" s="1"/>
  <c r="K82" i="20" s="1"/>
  <c r="K83" i="20" s="1"/>
  <c r="K84" i="20" s="1"/>
  <c r="K85" i="20" s="1"/>
  <c r="K86" i="20" s="1"/>
  <c r="K87" i="20" s="1"/>
  <c r="K88" i="20" s="1"/>
  <c r="K89" i="20" s="1"/>
  <c r="K90" i="20" s="1"/>
  <c r="K91" i="20" s="1"/>
  <c r="K92" i="20" s="1"/>
  <c r="K93" i="20" s="1"/>
  <c r="K94" i="20" s="1"/>
  <c r="K95" i="20" s="1"/>
  <c r="K96" i="20" s="1"/>
  <c r="K97" i="20" s="1"/>
  <c r="K98" i="20" s="1"/>
  <c r="K99" i="20" s="1"/>
  <c r="K100" i="20" s="1"/>
  <c r="K101" i="20" s="1"/>
  <c r="K102" i="20" s="1"/>
  <c r="K103" i="20" s="1"/>
  <c r="K104" i="20" s="1"/>
  <c r="K105" i="20" s="1"/>
  <c r="K106" i="20" s="1"/>
  <c r="K107" i="20" s="1"/>
  <c r="K108" i="20" s="1"/>
  <c r="K109" i="20" s="1"/>
  <c r="K110" i="20" s="1"/>
  <c r="K111" i="20" s="1"/>
  <c r="K112" i="20" s="1"/>
  <c r="K113" i="20" s="1"/>
  <c r="K114" i="20" s="1"/>
  <c r="K115" i="20" s="1"/>
  <c r="K116" i="20" s="1"/>
  <c r="K117" i="20" s="1"/>
  <c r="K118" i="20" s="1"/>
  <c r="K119" i="20" s="1"/>
  <c r="K120" i="20" s="1"/>
  <c r="K121" i="20" s="1"/>
  <c r="K122" i="20" s="1"/>
  <c r="K123" i="20" s="1"/>
  <c r="K124" i="20" s="1"/>
  <c r="K125" i="20" s="1"/>
  <c r="K126" i="20" s="1"/>
  <c r="K127" i="20" s="1"/>
  <c r="K128" i="20" s="1"/>
  <c r="K129" i="20" s="1"/>
  <c r="K130" i="20" s="1"/>
  <c r="K131" i="20" s="1"/>
  <c r="K132" i="20" s="1"/>
  <c r="K133" i="20" s="1"/>
  <c r="K134" i="20" s="1"/>
  <c r="K135" i="20" s="1"/>
  <c r="K136" i="20" s="1"/>
  <c r="K137" i="20" s="1"/>
  <c r="E67" i="20"/>
  <c r="E68" i="20" s="1"/>
  <c r="E69" i="20" s="1"/>
  <c r="E70" i="20" s="1"/>
  <c r="E71" i="20" s="1"/>
  <c r="E72" i="20" s="1"/>
  <c r="E73" i="20" s="1"/>
  <c r="E74" i="20" s="1"/>
  <c r="E75" i="20" s="1"/>
  <c r="E76" i="20" s="1"/>
  <c r="E77" i="20" s="1"/>
  <c r="E78" i="20" s="1"/>
  <c r="E79" i="20" s="1"/>
  <c r="E80" i="20" s="1"/>
  <c r="E81" i="20" s="1"/>
  <c r="E82" i="20" s="1"/>
  <c r="E83" i="20" s="1"/>
  <c r="E84" i="20" s="1"/>
  <c r="E85" i="20" s="1"/>
  <c r="E86" i="20" s="1"/>
  <c r="E87" i="20" s="1"/>
  <c r="E88" i="20" s="1"/>
  <c r="E89" i="20" s="1"/>
  <c r="E90" i="20" s="1"/>
  <c r="E91" i="20" s="1"/>
  <c r="E92" i="20" s="1"/>
  <c r="E93" i="20" s="1"/>
  <c r="E94" i="20" s="1"/>
  <c r="E95" i="20" s="1"/>
  <c r="E96" i="20" s="1"/>
  <c r="E97" i="20" s="1"/>
  <c r="E98" i="20" s="1"/>
  <c r="E99" i="20" s="1"/>
  <c r="E100" i="20" s="1"/>
  <c r="E101" i="20" s="1"/>
  <c r="E102" i="20" s="1"/>
  <c r="E103" i="20" s="1"/>
  <c r="E104" i="20" s="1"/>
  <c r="E105" i="20" s="1"/>
  <c r="E106" i="20" s="1"/>
  <c r="E107" i="20" s="1"/>
  <c r="E108" i="20" s="1"/>
  <c r="E109" i="20" s="1"/>
  <c r="E110" i="20" s="1"/>
  <c r="E111" i="20" s="1"/>
  <c r="E112" i="20" s="1"/>
  <c r="E113" i="20" s="1"/>
  <c r="E114" i="20" s="1"/>
  <c r="E115" i="20" s="1"/>
  <c r="E116" i="20" s="1"/>
  <c r="E117" i="20" s="1"/>
  <c r="E118" i="20" s="1"/>
  <c r="E119" i="20" s="1"/>
  <c r="E120" i="20" s="1"/>
  <c r="E121" i="20" s="1"/>
  <c r="E122" i="20" s="1"/>
  <c r="E123" i="20" s="1"/>
  <c r="E124" i="20" s="1"/>
  <c r="E125" i="20" s="1"/>
  <c r="A31" i="20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P29" i="20"/>
  <c r="P41" i="20" s="1"/>
  <c r="P53" i="20" s="1"/>
  <c r="P65" i="20" s="1"/>
  <c r="P77" i="20" s="1"/>
  <c r="P89" i="20" s="1"/>
  <c r="P101" i="20" s="1"/>
  <c r="P113" i="20" s="1"/>
  <c r="P125" i="20" s="1"/>
  <c r="P137" i="20" s="1"/>
  <c r="H29" i="20"/>
  <c r="H41" i="20" s="1"/>
  <c r="H53" i="20" s="1"/>
  <c r="H65" i="20" s="1"/>
  <c r="H77" i="20" s="1"/>
  <c r="H89" i="20" s="1"/>
  <c r="H101" i="20" s="1"/>
  <c r="H113" i="20" s="1"/>
  <c r="H125" i="20" s="1"/>
  <c r="H137" i="20" s="1"/>
  <c r="H149" i="20" s="1"/>
  <c r="H161" i="20" s="1"/>
  <c r="H173" i="20" s="1"/>
  <c r="H185" i="20" s="1"/>
  <c r="H197" i="20" s="1"/>
  <c r="H209" i="20" s="1"/>
  <c r="H221" i="20" s="1"/>
  <c r="H233" i="20" s="1"/>
  <c r="H245" i="20" s="1"/>
  <c r="H257" i="20" s="1"/>
  <c r="H269" i="20" s="1"/>
  <c r="H281" i="20" s="1"/>
  <c r="H293" i="20" s="1"/>
  <c r="H305" i="20" s="1"/>
  <c r="H317" i="20" s="1"/>
  <c r="H329" i="20" s="1"/>
  <c r="H341" i="20" s="1"/>
  <c r="H353" i="20" s="1"/>
  <c r="H365" i="20" s="1"/>
  <c r="H377" i="20" s="1"/>
  <c r="H389" i="20" s="1"/>
  <c r="H401" i="20" s="1"/>
  <c r="H413" i="20" s="1"/>
  <c r="H425" i="20" s="1"/>
  <c r="H437" i="20" s="1"/>
  <c r="H449" i="20" s="1"/>
  <c r="H461" i="20" s="1"/>
  <c r="H473" i="20" s="1"/>
  <c r="H485" i="20" s="1"/>
  <c r="C29" i="20"/>
  <c r="C41" i="20" s="1"/>
  <c r="C53" i="20" s="1"/>
  <c r="C65" i="20" s="1"/>
  <c r="C77" i="20" s="1"/>
  <c r="C89" i="20" s="1"/>
  <c r="C101" i="20" s="1"/>
  <c r="C113" i="20" s="1"/>
  <c r="C125" i="20" s="1"/>
  <c r="C137" i="20" s="1"/>
  <c r="C149" i="20" s="1"/>
  <c r="C161" i="20" s="1"/>
  <c r="C173" i="20" s="1"/>
  <c r="C185" i="20" s="1"/>
  <c r="C197" i="20" s="1"/>
  <c r="C209" i="20" s="1"/>
  <c r="C221" i="20" s="1"/>
  <c r="C233" i="20" s="1"/>
  <c r="C245" i="20" s="1"/>
  <c r="C257" i="20" s="1"/>
  <c r="C269" i="20" s="1"/>
  <c r="C281" i="20" s="1"/>
  <c r="C293" i="20" s="1"/>
  <c r="C305" i="20" s="1"/>
  <c r="C317" i="20" s="1"/>
  <c r="C329" i="20" s="1"/>
  <c r="C341" i="20" s="1"/>
  <c r="C353" i="20" s="1"/>
  <c r="C365" i="20" s="1"/>
  <c r="C377" i="20" s="1"/>
  <c r="C389" i="20" s="1"/>
  <c r="C401" i="20" s="1"/>
  <c r="C413" i="20" s="1"/>
  <c r="C425" i="20" s="1"/>
  <c r="C437" i="20" s="1"/>
  <c r="H28" i="20"/>
  <c r="H40" i="20" s="1"/>
  <c r="H52" i="20" s="1"/>
  <c r="H64" i="20" s="1"/>
  <c r="H76" i="20" s="1"/>
  <c r="H88" i="20" s="1"/>
  <c r="H100" i="20" s="1"/>
  <c r="H112" i="20" s="1"/>
  <c r="H124" i="20" s="1"/>
  <c r="H136" i="20" s="1"/>
  <c r="H148" i="20" s="1"/>
  <c r="H160" i="20" s="1"/>
  <c r="H172" i="20" s="1"/>
  <c r="H184" i="20" s="1"/>
  <c r="H196" i="20" s="1"/>
  <c r="H208" i="20" s="1"/>
  <c r="H220" i="20" s="1"/>
  <c r="H232" i="20" s="1"/>
  <c r="H244" i="20" s="1"/>
  <c r="H256" i="20" s="1"/>
  <c r="H268" i="20" s="1"/>
  <c r="H280" i="20" s="1"/>
  <c r="H292" i="20" s="1"/>
  <c r="H304" i="20" s="1"/>
  <c r="H316" i="20" s="1"/>
  <c r="H328" i="20" s="1"/>
  <c r="H340" i="20" s="1"/>
  <c r="H352" i="20" s="1"/>
  <c r="H364" i="20" s="1"/>
  <c r="H376" i="20" s="1"/>
  <c r="H388" i="20" s="1"/>
  <c r="H400" i="20" s="1"/>
  <c r="H412" i="20" s="1"/>
  <c r="H424" i="20" s="1"/>
  <c r="H436" i="20" s="1"/>
  <c r="H448" i="20" s="1"/>
  <c r="H460" i="20" s="1"/>
  <c r="H472" i="20" s="1"/>
  <c r="H484" i="20" s="1"/>
  <c r="C28" i="20"/>
  <c r="C40" i="20" s="1"/>
  <c r="C52" i="20" s="1"/>
  <c r="C64" i="20" s="1"/>
  <c r="C76" i="20" s="1"/>
  <c r="C88" i="20" s="1"/>
  <c r="C100" i="20" s="1"/>
  <c r="C112" i="20" s="1"/>
  <c r="C124" i="20" s="1"/>
  <c r="C136" i="20" s="1"/>
  <c r="C148" i="20" s="1"/>
  <c r="C160" i="20" s="1"/>
  <c r="C172" i="20" s="1"/>
  <c r="C184" i="20" s="1"/>
  <c r="C196" i="20" s="1"/>
  <c r="C208" i="20" s="1"/>
  <c r="C220" i="20" s="1"/>
  <c r="C232" i="20" s="1"/>
  <c r="C244" i="20" s="1"/>
  <c r="C256" i="20" s="1"/>
  <c r="C268" i="20" s="1"/>
  <c r="C280" i="20" s="1"/>
  <c r="C292" i="20" s="1"/>
  <c r="C304" i="20" s="1"/>
  <c r="C316" i="20" s="1"/>
  <c r="C328" i="20" s="1"/>
  <c r="C340" i="20" s="1"/>
  <c r="C352" i="20" s="1"/>
  <c r="C364" i="20" s="1"/>
  <c r="C376" i="20" s="1"/>
  <c r="C388" i="20" s="1"/>
  <c r="C400" i="20" s="1"/>
  <c r="C412" i="20" s="1"/>
  <c r="C424" i="20" s="1"/>
  <c r="C436" i="20" s="1"/>
  <c r="H27" i="20"/>
  <c r="H39" i="20" s="1"/>
  <c r="H51" i="20" s="1"/>
  <c r="H63" i="20" s="1"/>
  <c r="H75" i="20" s="1"/>
  <c r="H87" i="20" s="1"/>
  <c r="H99" i="20" s="1"/>
  <c r="H111" i="20" s="1"/>
  <c r="H123" i="20" s="1"/>
  <c r="H135" i="20" s="1"/>
  <c r="H147" i="20" s="1"/>
  <c r="H159" i="20" s="1"/>
  <c r="H171" i="20" s="1"/>
  <c r="H183" i="20" s="1"/>
  <c r="H195" i="20" s="1"/>
  <c r="H207" i="20" s="1"/>
  <c r="H219" i="20" s="1"/>
  <c r="H231" i="20" s="1"/>
  <c r="H243" i="20" s="1"/>
  <c r="H255" i="20" s="1"/>
  <c r="H267" i="20" s="1"/>
  <c r="H279" i="20" s="1"/>
  <c r="H291" i="20" s="1"/>
  <c r="H303" i="20" s="1"/>
  <c r="H315" i="20" s="1"/>
  <c r="H327" i="20" s="1"/>
  <c r="H339" i="20" s="1"/>
  <c r="H351" i="20" s="1"/>
  <c r="H363" i="20" s="1"/>
  <c r="H375" i="20" s="1"/>
  <c r="H387" i="20" s="1"/>
  <c r="H399" i="20" s="1"/>
  <c r="H411" i="20" s="1"/>
  <c r="H423" i="20" s="1"/>
  <c r="H435" i="20" s="1"/>
  <c r="H447" i="20" s="1"/>
  <c r="H459" i="20" s="1"/>
  <c r="H471" i="20" s="1"/>
  <c r="H483" i="20" s="1"/>
  <c r="C27" i="20"/>
  <c r="C39" i="20" s="1"/>
  <c r="C51" i="20" s="1"/>
  <c r="C63" i="20" s="1"/>
  <c r="C75" i="20" s="1"/>
  <c r="C87" i="20" s="1"/>
  <c r="C99" i="20" s="1"/>
  <c r="C111" i="20" s="1"/>
  <c r="C123" i="20" s="1"/>
  <c r="C135" i="20" s="1"/>
  <c r="C147" i="20" s="1"/>
  <c r="C159" i="20" s="1"/>
  <c r="C171" i="20" s="1"/>
  <c r="C183" i="20" s="1"/>
  <c r="C195" i="20" s="1"/>
  <c r="C207" i="20" s="1"/>
  <c r="C219" i="20" s="1"/>
  <c r="C231" i="20" s="1"/>
  <c r="C243" i="20" s="1"/>
  <c r="C255" i="20" s="1"/>
  <c r="C267" i="20" s="1"/>
  <c r="C279" i="20" s="1"/>
  <c r="C291" i="20" s="1"/>
  <c r="C303" i="20" s="1"/>
  <c r="C315" i="20" s="1"/>
  <c r="C327" i="20" s="1"/>
  <c r="C339" i="20" s="1"/>
  <c r="C351" i="20" s="1"/>
  <c r="C363" i="20" s="1"/>
  <c r="C375" i="20" s="1"/>
  <c r="C387" i="20" s="1"/>
  <c r="C399" i="20" s="1"/>
  <c r="C411" i="20" s="1"/>
  <c r="C423" i="20" s="1"/>
  <c r="C435" i="20" s="1"/>
  <c r="H26" i="20"/>
  <c r="H38" i="20" s="1"/>
  <c r="H50" i="20" s="1"/>
  <c r="H62" i="20" s="1"/>
  <c r="H74" i="20" s="1"/>
  <c r="H86" i="20" s="1"/>
  <c r="H98" i="20" s="1"/>
  <c r="H110" i="20" s="1"/>
  <c r="H122" i="20" s="1"/>
  <c r="H134" i="20" s="1"/>
  <c r="H146" i="20" s="1"/>
  <c r="H158" i="20" s="1"/>
  <c r="H170" i="20" s="1"/>
  <c r="H182" i="20" s="1"/>
  <c r="H194" i="20" s="1"/>
  <c r="H206" i="20" s="1"/>
  <c r="H218" i="20" s="1"/>
  <c r="H230" i="20" s="1"/>
  <c r="H242" i="20" s="1"/>
  <c r="H254" i="20" s="1"/>
  <c r="H266" i="20" s="1"/>
  <c r="H278" i="20" s="1"/>
  <c r="H290" i="20" s="1"/>
  <c r="H302" i="20" s="1"/>
  <c r="H314" i="20" s="1"/>
  <c r="H326" i="20" s="1"/>
  <c r="H338" i="20" s="1"/>
  <c r="H350" i="20" s="1"/>
  <c r="H362" i="20" s="1"/>
  <c r="H374" i="20" s="1"/>
  <c r="H386" i="20" s="1"/>
  <c r="H398" i="20" s="1"/>
  <c r="H410" i="20" s="1"/>
  <c r="H422" i="20" s="1"/>
  <c r="H434" i="20" s="1"/>
  <c r="H446" i="20" s="1"/>
  <c r="H458" i="20" s="1"/>
  <c r="H470" i="20" s="1"/>
  <c r="H482" i="20" s="1"/>
  <c r="C26" i="20"/>
  <c r="C38" i="20" s="1"/>
  <c r="C50" i="20" s="1"/>
  <c r="C62" i="20" s="1"/>
  <c r="C74" i="20" s="1"/>
  <c r="C86" i="20" s="1"/>
  <c r="C98" i="20" s="1"/>
  <c r="C110" i="20" s="1"/>
  <c r="C122" i="20" s="1"/>
  <c r="C134" i="20" s="1"/>
  <c r="C146" i="20" s="1"/>
  <c r="C158" i="20" s="1"/>
  <c r="C170" i="20" s="1"/>
  <c r="C182" i="20" s="1"/>
  <c r="C194" i="20" s="1"/>
  <c r="C206" i="20" s="1"/>
  <c r="C218" i="20" s="1"/>
  <c r="C230" i="20" s="1"/>
  <c r="C242" i="20" s="1"/>
  <c r="C254" i="20" s="1"/>
  <c r="C266" i="20" s="1"/>
  <c r="C278" i="20" s="1"/>
  <c r="C290" i="20" s="1"/>
  <c r="C302" i="20" s="1"/>
  <c r="C314" i="20" s="1"/>
  <c r="C326" i="20" s="1"/>
  <c r="C338" i="20" s="1"/>
  <c r="C350" i="20" s="1"/>
  <c r="C362" i="20" s="1"/>
  <c r="C374" i="20" s="1"/>
  <c r="C386" i="20" s="1"/>
  <c r="C398" i="20" s="1"/>
  <c r="C410" i="20" s="1"/>
  <c r="C422" i="20" s="1"/>
  <c r="C434" i="20" s="1"/>
  <c r="H25" i="20"/>
  <c r="H37" i="20" s="1"/>
  <c r="H49" i="20" s="1"/>
  <c r="H61" i="20" s="1"/>
  <c r="H73" i="20" s="1"/>
  <c r="H85" i="20" s="1"/>
  <c r="H97" i="20" s="1"/>
  <c r="H109" i="20" s="1"/>
  <c r="H121" i="20" s="1"/>
  <c r="H133" i="20" s="1"/>
  <c r="H145" i="20" s="1"/>
  <c r="H157" i="20" s="1"/>
  <c r="H169" i="20" s="1"/>
  <c r="H181" i="20" s="1"/>
  <c r="H193" i="20" s="1"/>
  <c r="H205" i="20" s="1"/>
  <c r="H217" i="20" s="1"/>
  <c r="H229" i="20" s="1"/>
  <c r="H241" i="20" s="1"/>
  <c r="H253" i="20" s="1"/>
  <c r="H265" i="20" s="1"/>
  <c r="H277" i="20" s="1"/>
  <c r="H289" i="20" s="1"/>
  <c r="H301" i="20" s="1"/>
  <c r="H313" i="20" s="1"/>
  <c r="H325" i="20" s="1"/>
  <c r="H337" i="20" s="1"/>
  <c r="H349" i="20" s="1"/>
  <c r="H361" i="20" s="1"/>
  <c r="H373" i="20" s="1"/>
  <c r="H385" i="20" s="1"/>
  <c r="H397" i="20" s="1"/>
  <c r="H409" i="20" s="1"/>
  <c r="H421" i="20" s="1"/>
  <c r="H433" i="20" s="1"/>
  <c r="H445" i="20" s="1"/>
  <c r="H457" i="20" s="1"/>
  <c r="H469" i="20" s="1"/>
  <c r="H481" i="20" s="1"/>
  <c r="C25" i="20"/>
  <c r="C37" i="20" s="1"/>
  <c r="C49" i="20" s="1"/>
  <c r="C61" i="20" s="1"/>
  <c r="C73" i="20" s="1"/>
  <c r="C85" i="20" s="1"/>
  <c r="C97" i="20" s="1"/>
  <c r="C109" i="20" s="1"/>
  <c r="C121" i="20" s="1"/>
  <c r="C133" i="20" s="1"/>
  <c r="C145" i="20" s="1"/>
  <c r="C157" i="20" s="1"/>
  <c r="C169" i="20" s="1"/>
  <c r="C181" i="20" s="1"/>
  <c r="C193" i="20" s="1"/>
  <c r="C205" i="20" s="1"/>
  <c r="C217" i="20" s="1"/>
  <c r="C229" i="20" s="1"/>
  <c r="C241" i="20" s="1"/>
  <c r="C253" i="20" s="1"/>
  <c r="C265" i="20" s="1"/>
  <c r="C277" i="20" s="1"/>
  <c r="C289" i="20" s="1"/>
  <c r="C301" i="20" s="1"/>
  <c r="C313" i="20" s="1"/>
  <c r="C325" i="20" s="1"/>
  <c r="C337" i="20" s="1"/>
  <c r="C349" i="20" s="1"/>
  <c r="C361" i="20" s="1"/>
  <c r="C373" i="20" s="1"/>
  <c r="C385" i="20" s="1"/>
  <c r="C397" i="20" s="1"/>
  <c r="C409" i="20" s="1"/>
  <c r="C421" i="20" s="1"/>
  <c r="C433" i="20" s="1"/>
  <c r="H24" i="20"/>
  <c r="H36" i="20" s="1"/>
  <c r="H48" i="20" s="1"/>
  <c r="H60" i="20" s="1"/>
  <c r="H72" i="20" s="1"/>
  <c r="H84" i="20" s="1"/>
  <c r="H96" i="20" s="1"/>
  <c r="H108" i="20" s="1"/>
  <c r="H120" i="20" s="1"/>
  <c r="H132" i="20" s="1"/>
  <c r="H144" i="20" s="1"/>
  <c r="H156" i="20" s="1"/>
  <c r="H168" i="20" s="1"/>
  <c r="H180" i="20" s="1"/>
  <c r="H192" i="20" s="1"/>
  <c r="H204" i="20" s="1"/>
  <c r="H216" i="20" s="1"/>
  <c r="H228" i="20" s="1"/>
  <c r="H240" i="20" s="1"/>
  <c r="H252" i="20" s="1"/>
  <c r="H264" i="20" s="1"/>
  <c r="H276" i="20" s="1"/>
  <c r="H288" i="20" s="1"/>
  <c r="H300" i="20" s="1"/>
  <c r="H312" i="20" s="1"/>
  <c r="H324" i="20" s="1"/>
  <c r="H336" i="20" s="1"/>
  <c r="H348" i="20" s="1"/>
  <c r="H360" i="20" s="1"/>
  <c r="H372" i="20" s="1"/>
  <c r="H384" i="20" s="1"/>
  <c r="H396" i="20" s="1"/>
  <c r="H408" i="20" s="1"/>
  <c r="H420" i="20" s="1"/>
  <c r="H432" i="20" s="1"/>
  <c r="H444" i="20" s="1"/>
  <c r="H456" i="20" s="1"/>
  <c r="H468" i="20" s="1"/>
  <c r="H480" i="20" s="1"/>
  <c r="C24" i="20"/>
  <c r="C36" i="20" s="1"/>
  <c r="C48" i="20" s="1"/>
  <c r="C60" i="20" s="1"/>
  <c r="C72" i="20" s="1"/>
  <c r="C84" i="20" s="1"/>
  <c r="C96" i="20" s="1"/>
  <c r="C108" i="20" s="1"/>
  <c r="C120" i="20" s="1"/>
  <c r="C132" i="20" s="1"/>
  <c r="C144" i="20" s="1"/>
  <c r="C156" i="20" s="1"/>
  <c r="C168" i="20" s="1"/>
  <c r="C180" i="20" s="1"/>
  <c r="C192" i="20" s="1"/>
  <c r="C204" i="20" s="1"/>
  <c r="C216" i="20" s="1"/>
  <c r="C228" i="20" s="1"/>
  <c r="C240" i="20" s="1"/>
  <c r="C252" i="20" s="1"/>
  <c r="C264" i="20" s="1"/>
  <c r="C276" i="20" s="1"/>
  <c r="C288" i="20" s="1"/>
  <c r="C300" i="20" s="1"/>
  <c r="C312" i="20" s="1"/>
  <c r="C324" i="20" s="1"/>
  <c r="C336" i="20" s="1"/>
  <c r="C348" i="20" s="1"/>
  <c r="C360" i="20" s="1"/>
  <c r="C372" i="20" s="1"/>
  <c r="C384" i="20" s="1"/>
  <c r="C396" i="20" s="1"/>
  <c r="C408" i="20" s="1"/>
  <c r="C420" i="20" s="1"/>
  <c r="C432" i="20" s="1"/>
  <c r="H23" i="20"/>
  <c r="H35" i="20" s="1"/>
  <c r="H47" i="20" s="1"/>
  <c r="H59" i="20" s="1"/>
  <c r="H71" i="20" s="1"/>
  <c r="H83" i="20" s="1"/>
  <c r="H95" i="20" s="1"/>
  <c r="H107" i="20" s="1"/>
  <c r="H119" i="20" s="1"/>
  <c r="H131" i="20" s="1"/>
  <c r="H143" i="20" s="1"/>
  <c r="H155" i="20" s="1"/>
  <c r="H167" i="20" s="1"/>
  <c r="H179" i="20" s="1"/>
  <c r="H191" i="20" s="1"/>
  <c r="H203" i="20" s="1"/>
  <c r="H215" i="20" s="1"/>
  <c r="H227" i="20" s="1"/>
  <c r="H239" i="20" s="1"/>
  <c r="H251" i="20" s="1"/>
  <c r="H263" i="20" s="1"/>
  <c r="H275" i="20" s="1"/>
  <c r="H287" i="20" s="1"/>
  <c r="H299" i="20" s="1"/>
  <c r="H311" i="20" s="1"/>
  <c r="H323" i="20" s="1"/>
  <c r="H335" i="20" s="1"/>
  <c r="H347" i="20" s="1"/>
  <c r="H359" i="20" s="1"/>
  <c r="H371" i="20" s="1"/>
  <c r="H383" i="20" s="1"/>
  <c r="H395" i="20" s="1"/>
  <c r="H407" i="20" s="1"/>
  <c r="H419" i="20" s="1"/>
  <c r="H431" i="20" s="1"/>
  <c r="H443" i="20" s="1"/>
  <c r="H455" i="20" s="1"/>
  <c r="H467" i="20" s="1"/>
  <c r="H479" i="20" s="1"/>
  <c r="C23" i="20"/>
  <c r="C35" i="20" s="1"/>
  <c r="C47" i="20" s="1"/>
  <c r="C59" i="20" s="1"/>
  <c r="C71" i="20" s="1"/>
  <c r="C83" i="20" s="1"/>
  <c r="C95" i="20" s="1"/>
  <c r="C107" i="20" s="1"/>
  <c r="C119" i="20" s="1"/>
  <c r="C131" i="20" s="1"/>
  <c r="C143" i="20" s="1"/>
  <c r="C155" i="20" s="1"/>
  <c r="C167" i="20" s="1"/>
  <c r="C179" i="20" s="1"/>
  <c r="C191" i="20" s="1"/>
  <c r="C203" i="20" s="1"/>
  <c r="C215" i="20" s="1"/>
  <c r="C227" i="20" s="1"/>
  <c r="C239" i="20" s="1"/>
  <c r="C251" i="20" s="1"/>
  <c r="C263" i="20" s="1"/>
  <c r="C275" i="20" s="1"/>
  <c r="C287" i="20" s="1"/>
  <c r="C299" i="20" s="1"/>
  <c r="C311" i="20" s="1"/>
  <c r="C323" i="20" s="1"/>
  <c r="C335" i="20" s="1"/>
  <c r="C347" i="20" s="1"/>
  <c r="C359" i="20" s="1"/>
  <c r="C371" i="20" s="1"/>
  <c r="C383" i="20" s="1"/>
  <c r="C395" i="20" s="1"/>
  <c r="C407" i="20" s="1"/>
  <c r="C419" i="20" s="1"/>
  <c r="C431" i="20" s="1"/>
  <c r="H22" i="20"/>
  <c r="H34" i="20" s="1"/>
  <c r="H46" i="20" s="1"/>
  <c r="H58" i="20" s="1"/>
  <c r="H70" i="20" s="1"/>
  <c r="H82" i="20" s="1"/>
  <c r="H94" i="20" s="1"/>
  <c r="H106" i="20" s="1"/>
  <c r="H118" i="20" s="1"/>
  <c r="H130" i="20" s="1"/>
  <c r="H142" i="20" s="1"/>
  <c r="H154" i="20" s="1"/>
  <c r="H166" i="20" s="1"/>
  <c r="H178" i="20" s="1"/>
  <c r="H190" i="20" s="1"/>
  <c r="H202" i="20" s="1"/>
  <c r="H214" i="20" s="1"/>
  <c r="H226" i="20" s="1"/>
  <c r="H238" i="20" s="1"/>
  <c r="H250" i="20" s="1"/>
  <c r="H262" i="20" s="1"/>
  <c r="H274" i="20" s="1"/>
  <c r="H286" i="20" s="1"/>
  <c r="H298" i="20" s="1"/>
  <c r="H310" i="20" s="1"/>
  <c r="H322" i="20" s="1"/>
  <c r="H334" i="20" s="1"/>
  <c r="H346" i="20" s="1"/>
  <c r="H358" i="20" s="1"/>
  <c r="H370" i="20" s="1"/>
  <c r="H382" i="20" s="1"/>
  <c r="H394" i="20" s="1"/>
  <c r="H406" i="20" s="1"/>
  <c r="H418" i="20" s="1"/>
  <c r="H430" i="20" s="1"/>
  <c r="H442" i="20" s="1"/>
  <c r="H454" i="20" s="1"/>
  <c r="H466" i="20" s="1"/>
  <c r="H478" i="20" s="1"/>
  <c r="C22" i="20"/>
  <c r="C34" i="20" s="1"/>
  <c r="C46" i="20" s="1"/>
  <c r="C58" i="20" s="1"/>
  <c r="C70" i="20" s="1"/>
  <c r="C82" i="20" s="1"/>
  <c r="C94" i="20" s="1"/>
  <c r="C106" i="20" s="1"/>
  <c r="C118" i="20" s="1"/>
  <c r="C130" i="20" s="1"/>
  <c r="C142" i="20" s="1"/>
  <c r="C154" i="20" s="1"/>
  <c r="C166" i="20" s="1"/>
  <c r="C178" i="20" s="1"/>
  <c r="C190" i="20" s="1"/>
  <c r="C202" i="20" s="1"/>
  <c r="C214" i="20" s="1"/>
  <c r="C226" i="20" s="1"/>
  <c r="C238" i="20" s="1"/>
  <c r="C250" i="20" s="1"/>
  <c r="C262" i="20" s="1"/>
  <c r="C274" i="20" s="1"/>
  <c r="C286" i="20" s="1"/>
  <c r="C298" i="20" s="1"/>
  <c r="C310" i="20" s="1"/>
  <c r="C322" i="20" s="1"/>
  <c r="C334" i="20" s="1"/>
  <c r="C346" i="20" s="1"/>
  <c r="C358" i="20" s="1"/>
  <c r="C370" i="20" s="1"/>
  <c r="C382" i="20" s="1"/>
  <c r="C394" i="20" s="1"/>
  <c r="C406" i="20" s="1"/>
  <c r="C418" i="20" s="1"/>
  <c r="C430" i="20" s="1"/>
  <c r="C442" i="20" s="1"/>
  <c r="H21" i="20"/>
  <c r="H33" i="20" s="1"/>
  <c r="H45" i="20" s="1"/>
  <c r="H57" i="20" s="1"/>
  <c r="H69" i="20" s="1"/>
  <c r="H81" i="20" s="1"/>
  <c r="H93" i="20" s="1"/>
  <c r="H105" i="20" s="1"/>
  <c r="H117" i="20" s="1"/>
  <c r="H129" i="20" s="1"/>
  <c r="H141" i="20" s="1"/>
  <c r="H153" i="20" s="1"/>
  <c r="H165" i="20" s="1"/>
  <c r="H177" i="20" s="1"/>
  <c r="H189" i="20" s="1"/>
  <c r="H201" i="20" s="1"/>
  <c r="H213" i="20" s="1"/>
  <c r="H225" i="20" s="1"/>
  <c r="H237" i="20" s="1"/>
  <c r="H249" i="20" s="1"/>
  <c r="H261" i="20" s="1"/>
  <c r="H273" i="20" s="1"/>
  <c r="H285" i="20" s="1"/>
  <c r="H297" i="20" s="1"/>
  <c r="H309" i="20" s="1"/>
  <c r="H321" i="20" s="1"/>
  <c r="H333" i="20" s="1"/>
  <c r="H345" i="20" s="1"/>
  <c r="H357" i="20" s="1"/>
  <c r="H369" i="20" s="1"/>
  <c r="H381" i="20" s="1"/>
  <c r="H393" i="20" s="1"/>
  <c r="H405" i="20" s="1"/>
  <c r="H417" i="20" s="1"/>
  <c r="H429" i="20" s="1"/>
  <c r="H441" i="20" s="1"/>
  <c r="H453" i="20" s="1"/>
  <c r="H465" i="20" s="1"/>
  <c r="H477" i="20" s="1"/>
  <c r="C21" i="20"/>
  <c r="C33" i="20" s="1"/>
  <c r="C45" i="20" s="1"/>
  <c r="C57" i="20" s="1"/>
  <c r="C69" i="20" s="1"/>
  <c r="C81" i="20" s="1"/>
  <c r="C93" i="20" s="1"/>
  <c r="C105" i="20" s="1"/>
  <c r="C117" i="20" s="1"/>
  <c r="C129" i="20" s="1"/>
  <c r="C141" i="20" s="1"/>
  <c r="C153" i="20" s="1"/>
  <c r="C165" i="20" s="1"/>
  <c r="C177" i="20" s="1"/>
  <c r="C189" i="20" s="1"/>
  <c r="C201" i="20" s="1"/>
  <c r="C213" i="20" s="1"/>
  <c r="C225" i="20" s="1"/>
  <c r="C237" i="20" s="1"/>
  <c r="C249" i="20" s="1"/>
  <c r="C261" i="20" s="1"/>
  <c r="C273" i="20" s="1"/>
  <c r="C285" i="20" s="1"/>
  <c r="C297" i="20" s="1"/>
  <c r="C309" i="20" s="1"/>
  <c r="C321" i="20" s="1"/>
  <c r="C333" i="20" s="1"/>
  <c r="C345" i="20" s="1"/>
  <c r="C357" i="20" s="1"/>
  <c r="C369" i="20" s="1"/>
  <c r="C381" i="20" s="1"/>
  <c r="C393" i="20" s="1"/>
  <c r="C405" i="20" s="1"/>
  <c r="C417" i="20" s="1"/>
  <c r="C429" i="20" s="1"/>
  <c r="C441" i="20" s="1"/>
  <c r="H20" i="20"/>
  <c r="H32" i="20" s="1"/>
  <c r="H44" i="20" s="1"/>
  <c r="H56" i="20" s="1"/>
  <c r="H68" i="20" s="1"/>
  <c r="H80" i="20" s="1"/>
  <c r="H92" i="20" s="1"/>
  <c r="H104" i="20" s="1"/>
  <c r="H116" i="20" s="1"/>
  <c r="H128" i="20" s="1"/>
  <c r="H140" i="20" s="1"/>
  <c r="H152" i="20" s="1"/>
  <c r="H164" i="20" s="1"/>
  <c r="H176" i="20" s="1"/>
  <c r="H188" i="20" s="1"/>
  <c r="H200" i="20" s="1"/>
  <c r="H212" i="20" s="1"/>
  <c r="H224" i="20" s="1"/>
  <c r="H236" i="20" s="1"/>
  <c r="H248" i="20" s="1"/>
  <c r="H260" i="20" s="1"/>
  <c r="H272" i="20" s="1"/>
  <c r="H284" i="20" s="1"/>
  <c r="H296" i="20" s="1"/>
  <c r="H308" i="20" s="1"/>
  <c r="H320" i="20" s="1"/>
  <c r="H332" i="20" s="1"/>
  <c r="H344" i="20" s="1"/>
  <c r="H356" i="20" s="1"/>
  <c r="H368" i="20" s="1"/>
  <c r="H380" i="20" s="1"/>
  <c r="H392" i="20" s="1"/>
  <c r="H404" i="20" s="1"/>
  <c r="H416" i="20" s="1"/>
  <c r="H428" i="20" s="1"/>
  <c r="H440" i="20" s="1"/>
  <c r="H452" i="20" s="1"/>
  <c r="H464" i="20" s="1"/>
  <c r="H476" i="20" s="1"/>
  <c r="C20" i="20"/>
  <c r="C32" i="20" s="1"/>
  <c r="C44" i="20" s="1"/>
  <c r="C56" i="20" s="1"/>
  <c r="C68" i="20" s="1"/>
  <c r="C80" i="20" s="1"/>
  <c r="C92" i="20" s="1"/>
  <c r="C104" i="20" s="1"/>
  <c r="C116" i="20" s="1"/>
  <c r="C128" i="20" s="1"/>
  <c r="C140" i="20" s="1"/>
  <c r="C152" i="20" s="1"/>
  <c r="C164" i="20" s="1"/>
  <c r="C176" i="20" s="1"/>
  <c r="C188" i="20" s="1"/>
  <c r="C200" i="20" s="1"/>
  <c r="C212" i="20" s="1"/>
  <c r="C224" i="20" s="1"/>
  <c r="C236" i="20" s="1"/>
  <c r="C248" i="20" s="1"/>
  <c r="C260" i="20" s="1"/>
  <c r="C272" i="20" s="1"/>
  <c r="C284" i="20" s="1"/>
  <c r="C296" i="20" s="1"/>
  <c r="C308" i="20" s="1"/>
  <c r="C320" i="20" s="1"/>
  <c r="C332" i="20" s="1"/>
  <c r="C344" i="20" s="1"/>
  <c r="C356" i="20" s="1"/>
  <c r="C368" i="20" s="1"/>
  <c r="C380" i="20" s="1"/>
  <c r="C392" i="20" s="1"/>
  <c r="C404" i="20" s="1"/>
  <c r="C416" i="20" s="1"/>
  <c r="C428" i="20" s="1"/>
  <c r="C440" i="20" s="1"/>
  <c r="H19" i="20"/>
  <c r="H31" i="20" s="1"/>
  <c r="H43" i="20" s="1"/>
  <c r="H55" i="20" s="1"/>
  <c r="H67" i="20" s="1"/>
  <c r="H79" i="20" s="1"/>
  <c r="H91" i="20" s="1"/>
  <c r="H103" i="20" s="1"/>
  <c r="H115" i="20" s="1"/>
  <c r="H127" i="20" s="1"/>
  <c r="H139" i="20" s="1"/>
  <c r="H151" i="20" s="1"/>
  <c r="H163" i="20" s="1"/>
  <c r="H175" i="20" s="1"/>
  <c r="H187" i="20" s="1"/>
  <c r="H199" i="20" s="1"/>
  <c r="H211" i="20" s="1"/>
  <c r="H223" i="20" s="1"/>
  <c r="H235" i="20" s="1"/>
  <c r="H247" i="20" s="1"/>
  <c r="H259" i="20" s="1"/>
  <c r="H271" i="20" s="1"/>
  <c r="H283" i="20" s="1"/>
  <c r="H295" i="20" s="1"/>
  <c r="H307" i="20" s="1"/>
  <c r="H319" i="20" s="1"/>
  <c r="H331" i="20" s="1"/>
  <c r="H343" i="20" s="1"/>
  <c r="H355" i="20" s="1"/>
  <c r="H367" i="20" s="1"/>
  <c r="H379" i="20" s="1"/>
  <c r="H391" i="20" s="1"/>
  <c r="H403" i="20" s="1"/>
  <c r="H415" i="20" s="1"/>
  <c r="H427" i="20" s="1"/>
  <c r="H439" i="20" s="1"/>
  <c r="H451" i="20" s="1"/>
  <c r="H463" i="20" s="1"/>
  <c r="H475" i="20" s="1"/>
  <c r="C19" i="20"/>
  <c r="C31" i="20" s="1"/>
  <c r="C43" i="20" s="1"/>
  <c r="C55" i="20" s="1"/>
  <c r="C67" i="20" s="1"/>
  <c r="C79" i="20" s="1"/>
  <c r="C91" i="20" s="1"/>
  <c r="C103" i="20" s="1"/>
  <c r="C115" i="20" s="1"/>
  <c r="C127" i="20" s="1"/>
  <c r="C139" i="20" s="1"/>
  <c r="C151" i="20" s="1"/>
  <c r="C163" i="20" s="1"/>
  <c r="C175" i="20" s="1"/>
  <c r="C187" i="20" s="1"/>
  <c r="C199" i="20" s="1"/>
  <c r="C211" i="20" s="1"/>
  <c r="C223" i="20" s="1"/>
  <c r="C235" i="20" s="1"/>
  <c r="C247" i="20" s="1"/>
  <c r="C259" i="20" s="1"/>
  <c r="C271" i="20" s="1"/>
  <c r="C283" i="20" s="1"/>
  <c r="C295" i="20" s="1"/>
  <c r="C307" i="20" s="1"/>
  <c r="C319" i="20" s="1"/>
  <c r="C331" i="20" s="1"/>
  <c r="C343" i="20" s="1"/>
  <c r="C355" i="20" s="1"/>
  <c r="C367" i="20" s="1"/>
  <c r="C379" i="20" s="1"/>
  <c r="C391" i="20" s="1"/>
  <c r="C403" i="20" s="1"/>
  <c r="C415" i="20" s="1"/>
  <c r="C427" i="20" s="1"/>
  <c r="C439" i="20" s="1"/>
  <c r="H18" i="20"/>
  <c r="H30" i="20" s="1"/>
  <c r="H42" i="20" s="1"/>
  <c r="H54" i="20" s="1"/>
  <c r="H66" i="20" s="1"/>
  <c r="H78" i="20" s="1"/>
  <c r="H90" i="20" s="1"/>
  <c r="H102" i="20" s="1"/>
  <c r="H114" i="20" s="1"/>
  <c r="H126" i="20" s="1"/>
  <c r="H138" i="20" s="1"/>
  <c r="H150" i="20" s="1"/>
  <c r="H162" i="20" s="1"/>
  <c r="H174" i="20" s="1"/>
  <c r="H186" i="20" s="1"/>
  <c r="H198" i="20" s="1"/>
  <c r="H210" i="20" s="1"/>
  <c r="H222" i="20" s="1"/>
  <c r="H234" i="20" s="1"/>
  <c r="H246" i="20" s="1"/>
  <c r="H258" i="20" s="1"/>
  <c r="H270" i="20" s="1"/>
  <c r="H282" i="20" s="1"/>
  <c r="H294" i="20" s="1"/>
  <c r="H306" i="20" s="1"/>
  <c r="H318" i="20" s="1"/>
  <c r="H330" i="20" s="1"/>
  <c r="H342" i="20" s="1"/>
  <c r="H354" i="20" s="1"/>
  <c r="H366" i="20" s="1"/>
  <c r="H378" i="20" s="1"/>
  <c r="H390" i="20" s="1"/>
  <c r="H402" i="20" s="1"/>
  <c r="H414" i="20" s="1"/>
  <c r="H426" i="20" s="1"/>
  <c r="H438" i="20" s="1"/>
  <c r="H450" i="20" s="1"/>
  <c r="H462" i="20" s="1"/>
  <c r="H474" i="20" s="1"/>
  <c r="C18" i="20"/>
  <c r="C30" i="20" s="1"/>
  <c r="C42" i="20" s="1"/>
  <c r="C54" i="20" s="1"/>
  <c r="C66" i="20" s="1"/>
  <c r="C78" i="20" s="1"/>
  <c r="C90" i="20" s="1"/>
  <c r="C102" i="20" s="1"/>
  <c r="C114" i="20" s="1"/>
  <c r="C126" i="20" s="1"/>
  <c r="C138" i="20" s="1"/>
  <c r="C150" i="20" s="1"/>
  <c r="C162" i="20" s="1"/>
  <c r="C174" i="20" s="1"/>
  <c r="C186" i="20" s="1"/>
  <c r="C198" i="20" s="1"/>
  <c r="C210" i="20" s="1"/>
  <c r="C222" i="20" s="1"/>
  <c r="C234" i="20" s="1"/>
  <c r="C246" i="20" s="1"/>
  <c r="C258" i="20" s="1"/>
  <c r="C270" i="20" s="1"/>
  <c r="C282" i="20" s="1"/>
  <c r="C294" i="20" s="1"/>
  <c r="C306" i="20" s="1"/>
  <c r="C318" i="20" s="1"/>
  <c r="C330" i="20" s="1"/>
  <c r="C342" i="20" s="1"/>
  <c r="C354" i="20" s="1"/>
  <c r="C366" i="20" s="1"/>
  <c r="C378" i="20" s="1"/>
  <c r="C390" i="20" s="1"/>
  <c r="C402" i="20" s="1"/>
  <c r="C414" i="20" s="1"/>
  <c r="C426" i="20" s="1"/>
  <c r="C438" i="20" s="1"/>
  <c r="G7" i="20"/>
  <c r="G8" i="20" s="1"/>
  <c r="G9" i="20" s="1"/>
  <c r="G10" i="20" s="1"/>
  <c r="G11" i="20" s="1"/>
  <c r="G12" i="20" s="1"/>
  <c r="G13" i="20" s="1"/>
  <c r="G14" i="20" s="1"/>
  <c r="G15" i="20" s="1"/>
  <c r="G16" i="20" s="1"/>
  <c r="G17" i="20" s="1"/>
  <c r="G18" i="20" s="1"/>
  <c r="G19" i="20" s="1"/>
  <c r="G20" i="20" s="1"/>
  <c r="G21" i="20" s="1"/>
  <c r="G22" i="20" s="1"/>
  <c r="G23" i="20" s="1"/>
  <c r="G24" i="20" s="1"/>
  <c r="B7" i="20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B67" i="20" s="1"/>
  <c r="B68" i="20" s="1"/>
  <c r="B69" i="20" s="1"/>
  <c r="B70" i="20" s="1"/>
  <c r="B71" i="20" s="1"/>
  <c r="B72" i="20" s="1"/>
  <c r="B73" i="20" s="1"/>
  <c r="B74" i="20" s="1"/>
  <c r="B75" i="20" s="1"/>
  <c r="B76" i="20" s="1"/>
  <c r="B77" i="20" s="1"/>
  <c r="B78" i="20" s="1"/>
  <c r="B79" i="20" s="1"/>
  <c r="B80" i="20" s="1"/>
  <c r="B81" i="20" s="1"/>
  <c r="B82" i="20" s="1"/>
  <c r="B83" i="20" s="1"/>
  <c r="B84" i="20" s="1"/>
  <c r="B85" i="20" s="1"/>
  <c r="B86" i="20" s="1"/>
  <c r="B87" i="20" s="1"/>
  <c r="B88" i="20" s="1"/>
  <c r="B89" i="20" s="1"/>
  <c r="B90" i="20" s="1"/>
  <c r="B91" i="20" s="1"/>
  <c r="B92" i="20" s="1"/>
  <c r="B93" i="20" s="1"/>
  <c r="B94" i="20" s="1"/>
  <c r="B95" i="20" s="1"/>
  <c r="B96" i="20" s="1"/>
  <c r="B97" i="20" s="1"/>
  <c r="B98" i="20" s="1"/>
  <c r="B99" i="20" s="1"/>
  <c r="B100" i="20" s="1"/>
  <c r="B101" i="20" s="1"/>
  <c r="B102" i="20" s="1"/>
  <c r="B103" i="20" s="1"/>
  <c r="B104" i="20" s="1"/>
  <c r="B105" i="20" s="1"/>
  <c r="B106" i="20" s="1"/>
  <c r="B107" i="20" s="1"/>
  <c r="B108" i="20" s="1"/>
  <c r="B109" i="20" s="1"/>
  <c r="B110" i="20" s="1"/>
  <c r="B111" i="20" s="1"/>
  <c r="B112" i="20" s="1"/>
  <c r="B113" i="20" s="1"/>
  <c r="B114" i="20" s="1"/>
  <c r="B115" i="20" s="1"/>
  <c r="B116" i="20" s="1"/>
  <c r="B117" i="20" s="1"/>
  <c r="B118" i="20" s="1"/>
  <c r="B119" i="20" s="1"/>
  <c r="B120" i="20" s="1"/>
  <c r="B121" i="20" s="1"/>
  <c r="B122" i="20" s="1"/>
  <c r="B123" i="20" s="1"/>
  <c r="B124" i="20" s="1"/>
  <c r="B125" i="20" s="1"/>
  <c r="B126" i="20" s="1"/>
  <c r="B127" i="20" s="1"/>
  <c r="B128" i="20" s="1"/>
  <c r="B129" i="20" s="1"/>
  <c r="B130" i="20" s="1"/>
  <c r="B131" i="20" s="1"/>
  <c r="B132" i="20" s="1"/>
  <c r="B133" i="20" s="1"/>
  <c r="B134" i="20" s="1"/>
  <c r="B135" i="20" s="1"/>
  <c r="B136" i="20" s="1"/>
  <c r="B137" i="20" s="1"/>
  <c r="B138" i="20" s="1"/>
  <c r="B139" i="20" s="1"/>
  <c r="B140" i="20" s="1"/>
  <c r="B141" i="20" s="1"/>
  <c r="B142" i="20" s="1"/>
  <c r="B143" i="20" s="1"/>
  <c r="B144" i="20" s="1"/>
  <c r="B145" i="20" s="1"/>
  <c r="B146" i="20" s="1"/>
  <c r="B147" i="20" s="1"/>
  <c r="B148" i="20" s="1"/>
  <c r="B149" i="20" s="1"/>
  <c r="B150" i="20" s="1"/>
  <c r="B151" i="20" s="1"/>
  <c r="B152" i="20" s="1"/>
  <c r="B153" i="20" s="1"/>
  <c r="B154" i="20" s="1"/>
  <c r="B155" i="20" s="1"/>
  <c r="B156" i="20" s="1"/>
  <c r="B157" i="20" s="1"/>
  <c r="B158" i="20" s="1"/>
  <c r="B159" i="20" s="1"/>
  <c r="B160" i="20" s="1"/>
  <c r="B161" i="20" s="1"/>
  <c r="B162" i="20" s="1"/>
  <c r="B163" i="20" s="1"/>
  <c r="B164" i="20" s="1"/>
  <c r="B165" i="20" s="1"/>
  <c r="B166" i="20" s="1"/>
  <c r="B167" i="20" s="1"/>
  <c r="B168" i="20" s="1"/>
  <c r="B169" i="20" s="1"/>
  <c r="B170" i="20" s="1"/>
  <c r="B171" i="20" s="1"/>
  <c r="B172" i="20" s="1"/>
  <c r="B173" i="20" s="1"/>
  <c r="B174" i="20" s="1"/>
  <c r="B175" i="20" s="1"/>
  <c r="B176" i="20" s="1"/>
  <c r="B177" i="20" s="1"/>
  <c r="B178" i="20" s="1"/>
  <c r="B179" i="20" s="1"/>
  <c r="B180" i="20" s="1"/>
  <c r="B181" i="20" s="1"/>
  <c r="B182" i="20" s="1"/>
  <c r="B183" i="20" s="1"/>
  <c r="B184" i="20" s="1"/>
  <c r="B185" i="20" s="1"/>
  <c r="B186" i="20" s="1"/>
  <c r="B187" i="20" s="1"/>
  <c r="B188" i="20" s="1"/>
  <c r="B189" i="20" s="1"/>
  <c r="B190" i="20" s="1"/>
  <c r="B191" i="20" s="1"/>
  <c r="B192" i="20" s="1"/>
  <c r="B193" i="20" s="1"/>
  <c r="B194" i="20" s="1"/>
  <c r="B195" i="20" s="1"/>
  <c r="B196" i="20" s="1"/>
  <c r="B197" i="20" s="1"/>
  <c r="B198" i="20" s="1"/>
  <c r="B199" i="20" s="1"/>
  <c r="B200" i="20" s="1"/>
  <c r="B201" i="20" s="1"/>
  <c r="B202" i="20" s="1"/>
  <c r="B203" i="20" s="1"/>
  <c r="B204" i="20" s="1"/>
  <c r="B205" i="20" s="1"/>
  <c r="B206" i="20" s="1"/>
  <c r="B207" i="20" s="1"/>
  <c r="B208" i="20" s="1"/>
  <c r="B209" i="20" s="1"/>
  <c r="B210" i="20" s="1"/>
  <c r="B211" i="20" s="1"/>
  <c r="B212" i="20" s="1"/>
  <c r="B213" i="20" s="1"/>
  <c r="B214" i="20" s="1"/>
  <c r="B215" i="20" s="1"/>
  <c r="B216" i="20" s="1"/>
  <c r="B217" i="20" s="1"/>
  <c r="B218" i="20" s="1"/>
  <c r="B219" i="20" s="1"/>
  <c r="B220" i="20" s="1"/>
  <c r="B221" i="20" s="1"/>
  <c r="B222" i="20" s="1"/>
  <c r="B223" i="20" s="1"/>
  <c r="B224" i="20" s="1"/>
  <c r="B225" i="20" s="1"/>
  <c r="B226" i="20" s="1"/>
  <c r="B227" i="20" s="1"/>
  <c r="B228" i="20" s="1"/>
  <c r="B229" i="20" s="1"/>
  <c r="B230" i="20" s="1"/>
  <c r="B231" i="20" s="1"/>
  <c r="B232" i="20" s="1"/>
  <c r="B233" i="20" s="1"/>
  <c r="B234" i="20" s="1"/>
  <c r="B235" i="20" s="1"/>
  <c r="B236" i="20" s="1"/>
  <c r="B237" i="20" s="1"/>
  <c r="B238" i="20" s="1"/>
  <c r="B239" i="20" s="1"/>
  <c r="B240" i="20" s="1"/>
  <c r="B241" i="20" s="1"/>
  <c r="B242" i="20" s="1"/>
  <c r="B243" i="20" s="1"/>
  <c r="B244" i="20" s="1"/>
  <c r="B245" i="20" s="1"/>
  <c r="B246" i="20" s="1"/>
  <c r="B247" i="20" s="1"/>
  <c r="B248" i="20" s="1"/>
  <c r="B249" i="20" s="1"/>
  <c r="B250" i="20" s="1"/>
  <c r="B251" i="20" s="1"/>
  <c r="B252" i="20" s="1"/>
  <c r="B253" i="20" s="1"/>
  <c r="B254" i="20" s="1"/>
  <c r="B255" i="20" s="1"/>
  <c r="B256" i="20" s="1"/>
  <c r="B257" i="20" s="1"/>
  <c r="B258" i="20" s="1"/>
  <c r="B259" i="20" s="1"/>
  <c r="B260" i="20" s="1"/>
  <c r="B261" i="20" s="1"/>
  <c r="B262" i="20" s="1"/>
  <c r="B263" i="20" s="1"/>
  <c r="B264" i="20" s="1"/>
  <c r="B265" i="20" s="1"/>
  <c r="B266" i="20" s="1"/>
  <c r="B267" i="20" s="1"/>
  <c r="B268" i="20" s="1"/>
  <c r="B269" i="20" s="1"/>
  <c r="B270" i="20" s="1"/>
  <c r="B271" i="20" s="1"/>
  <c r="B272" i="20" s="1"/>
  <c r="B273" i="20" s="1"/>
  <c r="B274" i="20" s="1"/>
  <c r="B275" i="20" s="1"/>
  <c r="B276" i="20" s="1"/>
  <c r="B277" i="20" s="1"/>
  <c r="B278" i="20" s="1"/>
  <c r="B279" i="20" s="1"/>
  <c r="B280" i="20" s="1"/>
  <c r="B281" i="20" s="1"/>
  <c r="B282" i="20" s="1"/>
  <c r="B283" i="20" s="1"/>
  <c r="B284" i="20" s="1"/>
  <c r="B285" i="20" s="1"/>
  <c r="B286" i="20" s="1"/>
  <c r="B287" i="20" s="1"/>
  <c r="B288" i="20" s="1"/>
  <c r="B289" i="20" s="1"/>
  <c r="B290" i="20" s="1"/>
  <c r="B291" i="20" s="1"/>
  <c r="B292" i="20" s="1"/>
  <c r="B293" i="20" s="1"/>
  <c r="B294" i="20" s="1"/>
  <c r="B295" i="20" s="1"/>
  <c r="B296" i="20" s="1"/>
  <c r="B297" i="20" s="1"/>
  <c r="B298" i="20" s="1"/>
  <c r="B299" i="20" s="1"/>
  <c r="B300" i="20" s="1"/>
  <c r="B301" i="20" s="1"/>
  <c r="B302" i="20" s="1"/>
  <c r="B303" i="20" s="1"/>
  <c r="B304" i="20" s="1"/>
  <c r="B305" i="20" s="1"/>
  <c r="B306" i="20" s="1"/>
  <c r="B307" i="20" s="1"/>
  <c r="B308" i="20" s="1"/>
  <c r="B309" i="20" s="1"/>
  <c r="B310" i="20" s="1"/>
  <c r="B311" i="20" s="1"/>
  <c r="B312" i="20" s="1"/>
  <c r="B313" i="20" s="1"/>
  <c r="B314" i="20" s="1"/>
  <c r="B315" i="20" s="1"/>
  <c r="B316" i="20" s="1"/>
  <c r="B317" i="20" s="1"/>
  <c r="B318" i="20" s="1"/>
  <c r="B319" i="20" s="1"/>
  <c r="B320" i="20" s="1"/>
  <c r="B321" i="20" s="1"/>
  <c r="B322" i="20" s="1"/>
  <c r="B323" i="20" s="1"/>
  <c r="B324" i="20" s="1"/>
  <c r="B325" i="20" s="1"/>
  <c r="B326" i="20" s="1"/>
  <c r="B327" i="20" s="1"/>
  <c r="B328" i="20" s="1"/>
  <c r="B329" i="20" s="1"/>
  <c r="B330" i="20" s="1"/>
  <c r="B331" i="20" s="1"/>
  <c r="B332" i="20" s="1"/>
  <c r="B333" i="20" s="1"/>
  <c r="B334" i="20" s="1"/>
  <c r="B335" i="20" s="1"/>
  <c r="B336" i="20" s="1"/>
  <c r="B337" i="20" s="1"/>
  <c r="B338" i="20" s="1"/>
  <c r="B339" i="20" s="1"/>
  <c r="B340" i="20" s="1"/>
  <c r="B341" i="20" s="1"/>
  <c r="B342" i="20" s="1"/>
  <c r="B343" i="20" s="1"/>
  <c r="B344" i="20" s="1"/>
  <c r="B345" i="20" s="1"/>
  <c r="B346" i="20" s="1"/>
  <c r="B347" i="20" s="1"/>
  <c r="B348" i="20" s="1"/>
  <c r="B349" i="20" s="1"/>
  <c r="B350" i="20" s="1"/>
  <c r="B351" i="20" s="1"/>
  <c r="B352" i="20" s="1"/>
  <c r="B353" i="20" s="1"/>
  <c r="B354" i="20" s="1"/>
  <c r="B355" i="20" s="1"/>
  <c r="B356" i="20" s="1"/>
  <c r="B357" i="20" s="1"/>
  <c r="B358" i="20" s="1"/>
  <c r="B359" i="20" s="1"/>
  <c r="B360" i="20" s="1"/>
  <c r="B361" i="20" s="1"/>
  <c r="B362" i="20" s="1"/>
  <c r="B363" i="20" s="1"/>
  <c r="B364" i="20" s="1"/>
  <c r="B365" i="20" s="1"/>
  <c r="B366" i="20" s="1"/>
  <c r="B367" i="20" s="1"/>
  <c r="B368" i="20" s="1"/>
  <c r="B369" i="20" s="1"/>
  <c r="B370" i="20" s="1"/>
  <c r="B371" i="20" s="1"/>
  <c r="B372" i="20" s="1"/>
  <c r="B373" i="20" s="1"/>
  <c r="B374" i="20" s="1"/>
  <c r="B375" i="20" s="1"/>
  <c r="B376" i="20" s="1"/>
  <c r="B377" i="20" s="1"/>
  <c r="B378" i="20" s="1"/>
  <c r="B379" i="20" s="1"/>
  <c r="B380" i="20" s="1"/>
  <c r="B381" i="20" s="1"/>
  <c r="B382" i="20" s="1"/>
  <c r="B383" i="20" s="1"/>
  <c r="B384" i="20" s="1"/>
  <c r="B385" i="20" s="1"/>
  <c r="B386" i="20" s="1"/>
  <c r="B387" i="20" s="1"/>
  <c r="B388" i="20" s="1"/>
  <c r="B389" i="20" s="1"/>
  <c r="B390" i="20" s="1"/>
  <c r="B391" i="20" s="1"/>
  <c r="B392" i="20" s="1"/>
  <c r="B393" i="20" s="1"/>
  <c r="B394" i="20" s="1"/>
  <c r="B395" i="20" s="1"/>
  <c r="B396" i="20" s="1"/>
  <c r="B397" i="20" s="1"/>
  <c r="B398" i="20" s="1"/>
  <c r="B399" i="20" s="1"/>
  <c r="B400" i="20" s="1"/>
  <c r="B401" i="20" s="1"/>
  <c r="B402" i="20" s="1"/>
  <c r="B403" i="20" s="1"/>
  <c r="B404" i="20" s="1"/>
  <c r="B405" i="20" s="1"/>
  <c r="B406" i="20" s="1"/>
  <c r="B407" i="20" s="1"/>
  <c r="B408" i="20" s="1"/>
  <c r="B409" i="20" s="1"/>
  <c r="B410" i="20" s="1"/>
  <c r="B411" i="20" s="1"/>
  <c r="B412" i="20" s="1"/>
  <c r="B413" i="20" s="1"/>
  <c r="B414" i="20" s="1"/>
  <c r="B415" i="20" s="1"/>
  <c r="B416" i="20" s="1"/>
  <c r="B417" i="20" s="1"/>
  <c r="B418" i="20" s="1"/>
  <c r="B419" i="20" s="1"/>
  <c r="B420" i="20" s="1"/>
  <c r="B421" i="20" s="1"/>
  <c r="B422" i="20" s="1"/>
  <c r="B423" i="20" s="1"/>
  <c r="B424" i="20" s="1"/>
  <c r="B425" i="20" s="1"/>
  <c r="B426" i="20" s="1"/>
  <c r="B427" i="20" s="1"/>
  <c r="B428" i="20" s="1"/>
  <c r="B429" i="20" s="1"/>
  <c r="B430" i="20" s="1"/>
  <c r="B431" i="20" s="1"/>
  <c r="B432" i="20" s="1"/>
  <c r="B433" i="20" s="1"/>
  <c r="B434" i="20" s="1"/>
  <c r="B435" i="20" s="1"/>
  <c r="B436" i="20" s="1"/>
  <c r="B437" i="20" s="1"/>
  <c r="B438" i="20" s="1"/>
  <c r="B439" i="20" s="1"/>
  <c r="B440" i="20" s="1"/>
  <c r="B441" i="20" s="1"/>
  <c r="B442" i="20" s="1"/>
  <c r="A5" i="20"/>
  <c r="F6" i="20" s="1"/>
  <c r="F7" i="20" s="1"/>
  <c r="F8" i="20" s="1"/>
  <c r="F9" i="20" s="1"/>
  <c r="F10" i="20" s="1"/>
  <c r="F11" i="20" s="1"/>
  <c r="F12" i="20" s="1"/>
  <c r="F13" i="20" s="1"/>
  <c r="F14" i="20" s="1"/>
  <c r="F15" i="20" s="1"/>
  <c r="F16" i="20" s="1"/>
  <c r="F17" i="20" s="1"/>
  <c r="F18" i="20" s="1"/>
  <c r="F19" i="20" s="1"/>
  <c r="F20" i="20" s="1"/>
  <c r="F21" i="20" s="1"/>
  <c r="F22" i="20" s="1"/>
  <c r="F23" i="20" s="1"/>
  <c r="F24" i="20" s="1"/>
  <c r="F25" i="20" s="1"/>
  <c r="F26" i="20" s="1"/>
  <c r="F27" i="20" s="1"/>
  <c r="F28" i="20" s="1"/>
  <c r="F29" i="20" s="1"/>
  <c r="F30" i="20" s="1"/>
  <c r="F31" i="20" s="1"/>
  <c r="F32" i="20" s="1"/>
  <c r="F33" i="20" s="1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F47" i="20" s="1"/>
  <c r="F48" i="20" s="1"/>
  <c r="F49" i="20" s="1"/>
  <c r="F50" i="20" s="1"/>
  <c r="F51" i="20" s="1"/>
  <c r="F52" i="20" s="1"/>
  <c r="F53" i="20" s="1"/>
  <c r="F54" i="20" s="1"/>
  <c r="F55" i="20" s="1"/>
  <c r="F56" i="20" s="1"/>
  <c r="F57" i="20" s="1"/>
  <c r="F58" i="20" s="1"/>
  <c r="F59" i="20" s="1"/>
  <c r="F60" i="20" s="1"/>
  <c r="F61" i="20" s="1"/>
  <c r="F62" i="20" s="1"/>
  <c r="F63" i="20" s="1"/>
  <c r="F64" i="20" s="1"/>
  <c r="F65" i="20" s="1"/>
  <c r="F66" i="20" s="1"/>
  <c r="F67" i="20" s="1"/>
  <c r="F68" i="20" s="1"/>
  <c r="F69" i="20" s="1"/>
  <c r="F70" i="20" s="1"/>
  <c r="F71" i="20" s="1"/>
  <c r="F72" i="20" s="1"/>
  <c r="F73" i="20" s="1"/>
  <c r="F74" i="20" s="1"/>
  <c r="F75" i="20" s="1"/>
  <c r="F76" i="20" s="1"/>
  <c r="F77" i="20" s="1"/>
  <c r="F78" i="20" s="1"/>
  <c r="F79" i="20" s="1"/>
  <c r="F80" i="20" s="1"/>
  <c r="F81" i="20" s="1"/>
  <c r="F82" i="20" s="1"/>
  <c r="F83" i="20" s="1"/>
  <c r="F84" i="20" s="1"/>
  <c r="F85" i="20" s="1"/>
  <c r="F86" i="20" s="1"/>
  <c r="F87" i="20" s="1"/>
  <c r="F88" i="20" s="1"/>
  <c r="F89" i="20" s="1"/>
  <c r="F90" i="20" s="1"/>
  <c r="F91" i="20" s="1"/>
  <c r="F92" i="20" s="1"/>
  <c r="F93" i="20" s="1"/>
  <c r="F94" i="20" s="1"/>
  <c r="F95" i="20" s="1"/>
  <c r="F96" i="20" s="1"/>
  <c r="F97" i="20" s="1"/>
  <c r="F98" i="20" s="1"/>
  <c r="F99" i="20" s="1"/>
  <c r="F100" i="20" s="1"/>
  <c r="F101" i="20" s="1"/>
  <c r="F102" i="20" s="1"/>
  <c r="F103" i="20" s="1"/>
  <c r="F104" i="20" s="1"/>
  <c r="F105" i="20" s="1"/>
  <c r="F106" i="20" s="1"/>
  <c r="F107" i="20" s="1"/>
  <c r="F108" i="20" s="1"/>
  <c r="F109" i="20" s="1"/>
  <c r="F110" i="20" s="1"/>
  <c r="F111" i="20" s="1"/>
  <c r="F112" i="20" s="1"/>
  <c r="F113" i="20" s="1"/>
  <c r="F114" i="20" s="1"/>
  <c r="F115" i="20" s="1"/>
  <c r="F116" i="20" s="1"/>
  <c r="F117" i="20" s="1"/>
  <c r="F118" i="20" s="1"/>
  <c r="F119" i="20" s="1"/>
  <c r="F120" i="20" s="1"/>
  <c r="F121" i="20" s="1"/>
  <c r="F122" i="20" s="1"/>
  <c r="F123" i="20" s="1"/>
  <c r="F124" i="20" s="1"/>
  <c r="F125" i="20" s="1"/>
  <c r="F126" i="20" s="1"/>
  <c r="F127" i="20" s="1"/>
  <c r="F128" i="20" s="1"/>
  <c r="F129" i="20" s="1"/>
  <c r="F130" i="20" s="1"/>
  <c r="F131" i="20" s="1"/>
  <c r="F132" i="20" s="1"/>
  <c r="F133" i="20" s="1"/>
  <c r="F134" i="20" s="1"/>
  <c r="F135" i="20" s="1"/>
  <c r="F136" i="20" s="1"/>
  <c r="F137" i="20" s="1"/>
  <c r="F138" i="20" s="1"/>
  <c r="F139" i="20" s="1"/>
  <c r="F140" i="20" s="1"/>
  <c r="F141" i="20" s="1"/>
  <c r="F142" i="20" s="1"/>
  <c r="F143" i="20" s="1"/>
  <c r="F144" i="20" s="1"/>
  <c r="F145" i="20" s="1"/>
  <c r="F146" i="20" s="1"/>
  <c r="F147" i="20" s="1"/>
  <c r="F148" i="20" s="1"/>
  <c r="F149" i="20" s="1"/>
  <c r="F150" i="20" s="1"/>
  <c r="F151" i="20" s="1"/>
  <c r="F152" i="20" s="1"/>
  <c r="F153" i="20" s="1"/>
  <c r="F154" i="20" s="1"/>
  <c r="F155" i="20" s="1"/>
  <c r="F156" i="20" s="1"/>
  <c r="F157" i="20" s="1"/>
  <c r="F158" i="20" s="1"/>
  <c r="F159" i="20" s="1"/>
  <c r="F160" i="20" s="1"/>
  <c r="F161" i="20" s="1"/>
  <c r="F162" i="20" s="1"/>
  <c r="F163" i="20" s="1"/>
  <c r="F164" i="20" s="1"/>
  <c r="F165" i="20" s="1"/>
  <c r="F166" i="20" s="1"/>
  <c r="F167" i="20" s="1"/>
  <c r="F168" i="20" s="1"/>
  <c r="F169" i="20" s="1"/>
  <c r="F170" i="20" s="1"/>
  <c r="F171" i="20" s="1"/>
  <c r="F172" i="20" s="1"/>
  <c r="F173" i="20" s="1"/>
  <c r="F174" i="20" s="1"/>
  <c r="F175" i="20" s="1"/>
  <c r="F176" i="20" s="1"/>
  <c r="F177" i="20" s="1"/>
  <c r="F178" i="20" s="1"/>
  <c r="F179" i="20" s="1"/>
  <c r="F180" i="20" s="1"/>
  <c r="F181" i="20" s="1"/>
  <c r="F182" i="20" s="1"/>
  <c r="F183" i="20" s="1"/>
  <c r="F184" i="20" s="1"/>
  <c r="F185" i="20" s="1"/>
  <c r="F186" i="20" s="1"/>
  <c r="F187" i="20" s="1"/>
  <c r="F188" i="20" s="1"/>
  <c r="F189" i="20" s="1"/>
  <c r="F190" i="20" s="1"/>
  <c r="F191" i="20" s="1"/>
  <c r="F192" i="20" s="1"/>
  <c r="F193" i="20" s="1"/>
  <c r="F194" i="20" s="1"/>
  <c r="F195" i="20" s="1"/>
  <c r="F196" i="20" s="1"/>
  <c r="F197" i="20" s="1"/>
  <c r="F198" i="20" s="1"/>
  <c r="F199" i="20" s="1"/>
  <c r="F200" i="20" s="1"/>
  <c r="F201" i="20" s="1"/>
  <c r="F202" i="20" s="1"/>
  <c r="F203" i="20" s="1"/>
  <c r="F204" i="20" s="1"/>
  <c r="F205" i="20" s="1"/>
  <c r="F206" i="20" s="1"/>
  <c r="F207" i="20" s="1"/>
  <c r="F208" i="20" s="1"/>
  <c r="F209" i="20" s="1"/>
  <c r="F210" i="20" s="1"/>
  <c r="F211" i="20" s="1"/>
  <c r="F212" i="20" s="1"/>
  <c r="F213" i="20" s="1"/>
  <c r="F214" i="20" s="1"/>
  <c r="F215" i="20" s="1"/>
  <c r="F216" i="20" s="1"/>
  <c r="F217" i="20" s="1"/>
  <c r="F218" i="20" s="1"/>
  <c r="F219" i="20" s="1"/>
  <c r="F220" i="20" s="1"/>
  <c r="F221" i="20" s="1"/>
  <c r="F222" i="20" s="1"/>
  <c r="F223" i="20" s="1"/>
  <c r="F224" i="20" s="1"/>
  <c r="F225" i="20" s="1"/>
  <c r="F226" i="20" s="1"/>
  <c r="F227" i="20" s="1"/>
  <c r="F228" i="20" s="1"/>
  <c r="F229" i="20" s="1"/>
  <c r="F230" i="20" s="1"/>
  <c r="F231" i="20" s="1"/>
  <c r="F232" i="20" s="1"/>
  <c r="F233" i="20" s="1"/>
  <c r="F234" i="20" s="1"/>
  <c r="F235" i="20" s="1"/>
  <c r="F236" i="20" s="1"/>
  <c r="F237" i="20" s="1"/>
  <c r="F238" i="20" s="1"/>
  <c r="F239" i="20" s="1"/>
  <c r="F240" i="20" s="1"/>
  <c r="F241" i="20" s="1"/>
  <c r="F242" i="20" s="1"/>
  <c r="F243" i="20" s="1"/>
  <c r="F244" i="20" s="1"/>
  <c r="F245" i="20" s="1"/>
  <c r="F246" i="20" s="1"/>
  <c r="F247" i="20" s="1"/>
  <c r="F248" i="20" s="1"/>
  <c r="F249" i="20" s="1"/>
  <c r="F250" i="20" s="1"/>
  <c r="F251" i="20" s="1"/>
  <c r="F252" i="20" s="1"/>
  <c r="F253" i="20" s="1"/>
  <c r="F254" i="20" s="1"/>
  <c r="F255" i="20" s="1"/>
  <c r="F256" i="20" s="1"/>
  <c r="F257" i="20" s="1"/>
  <c r="F258" i="20" s="1"/>
  <c r="F259" i="20" s="1"/>
  <c r="F260" i="20" s="1"/>
  <c r="F261" i="20" s="1"/>
  <c r="F262" i="20" s="1"/>
  <c r="F263" i="20" s="1"/>
  <c r="F264" i="20" s="1"/>
  <c r="F265" i="20" s="1"/>
  <c r="F266" i="20" s="1"/>
  <c r="F267" i="20" s="1"/>
  <c r="F268" i="20" s="1"/>
  <c r="F269" i="20" s="1"/>
  <c r="F270" i="20" s="1"/>
  <c r="F271" i="20" s="1"/>
  <c r="F272" i="20" s="1"/>
  <c r="F273" i="20" s="1"/>
  <c r="F274" i="20" s="1"/>
  <c r="F275" i="20" s="1"/>
  <c r="F276" i="20" s="1"/>
  <c r="F277" i="20" s="1"/>
  <c r="F278" i="20" s="1"/>
  <c r="F279" i="20" s="1"/>
  <c r="F280" i="20" s="1"/>
  <c r="F281" i="20" s="1"/>
  <c r="F282" i="20" s="1"/>
  <c r="F283" i="20" s="1"/>
  <c r="F284" i="20" s="1"/>
  <c r="F285" i="20" s="1"/>
  <c r="F286" i="20" s="1"/>
  <c r="F287" i="20" s="1"/>
  <c r="F288" i="20" s="1"/>
  <c r="F289" i="20" s="1"/>
  <c r="F290" i="20" s="1"/>
  <c r="F291" i="20" s="1"/>
  <c r="F292" i="20" s="1"/>
  <c r="F293" i="20" s="1"/>
  <c r="F294" i="20" s="1"/>
  <c r="F295" i="20" s="1"/>
  <c r="F296" i="20" s="1"/>
  <c r="F297" i="20" s="1"/>
  <c r="F298" i="20" s="1"/>
  <c r="F299" i="20" s="1"/>
  <c r="F300" i="20" s="1"/>
  <c r="F301" i="20" s="1"/>
  <c r="F302" i="20" s="1"/>
  <c r="F303" i="20" s="1"/>
  <c r="F304" i="20" s="1"/>
  <c r="F305" i="20" s="1"/>
  <c r="F306" i="20" s="1"/>
  <c r="F307" i="20" s="1"/>
  <c r="F308" i="20" s="1"/>
  <c r="F309" i="20" s="1"/>
  <c r="F310" i="20" s="1"/>
  <c r="F311" i="20" s="1"/>
  <c r="F312" i="20" s="1"/>
  <c r="F313" i="20" s="1"/>
  <c r="F314" i="20" s="1"/>
  <c r="F315" i="20" s="1"/>
  <c r="F316" i="20" s="1"/>
  <c r="F317" i="20" s="1"/>
  <c r="F318" i="20" s="1"/>
  <c r="F319" i="20" s="1"/>
  <c r="F320" i="20" s="1"/>
  <c r="F321" i="20" s="1"/>
  <c r="F322" i="20" s="1"/>
  <c r="F323" i="20" s="1"/>
  <c r="F324" i="20" s="1"/>
  <c r="F325" i="20" s="1"/>
  <c r="F326" i="20" s="1"/>
  <c r="F327" i="20" s="1"/>
  <c r="F328" i="20" s="1"/>
  <c r="F329" i="20" s="1"/>
  <c r="F330" i="20" s="1"/>
  <c r="F331" i="20" s="1"/>
  <c r="F332" i="20" s="1"/>
  <c r="F333" i="20" s="1"/>
  <c r="F334" i="20" s="1"/>
  <c r="F335" i="20" s="1"/>
  <c r="F336" i="20" s="1"/>
  <c r="F337" i="20" s="1"/>
  <c r="F338" i="20" s="1"/>
  <c r="F339" i="20" s="1"/>
  <c r="F340" i="20" s="1"/>
  <c r="F341" i="20" s="1"/>
  <c r="F342" i="20" s="1"/>
  <c r="F343" i="20" s="1"/>
  <c r="F344" i="20" s="1"/>
  <c r="F345" i="20" s="1"/>
  <c r="F346" i="20" s="1"/>
  <c r="F347" i="20" s="1"/>
  <c r="F348" i="20" s="1"/>
  <c r="F349" i="20" s="1"/>
  <c r="F350" i="20" s="1"/>
  <c r="F351" i="20" s="1"/>
  <c r="F352" i="20" s="1"/>
  <c r="F353" i="20" s="1"/>
  <c r="F354" i="20" s="1"/>
  <c r="F355" i="20" s="1"/>
  <c r="F356" i="20" s="1"/>
  <c r="F357" i="20" s="1"/>
  <c r="F358" i="20" s="1"/>
  <c r="F359" i="20" s="1"/>
  <c r="F360" i="20" s="1"/>
  <c r="F361" i="20" s="1"/>
  <c r="F362" i="20" s="1"/>
  <c r="F363" i="20" s="1"/>
  <c r="F364" i="20" s="1"/>
  <c r="F365" i="20" s="1"/>
  <c r="F366" i="20" s="1"/>
  <c r="F367" i="20" s="1"/>
  <c r="F368" i="20" s="1"/>
  <c r="F369" i="20" s="1"/>
  <c r="F370" i="20" s="1"/>
  <c r="F371" i="20" s="1"/>
  <c r="F372" i="20" s="1"/>
  <c r="F373" i="20" s="1"/>
  <c r="F374" i="20" s="1"/>
  <c r="F375" i="20" s="1"/>
  <c r="F376" i="20" s="1"/>
  <c r="F377" i="20" s="1"/>
  <c r="F378" i="20" s="1"/>
  <c r="F379" i="20" s="1"/>
  <c r="F380" i="20" s="1"/>
  <c r="F381" i="20" s="1"/>
  <c r="F382" i="20" s="1"/>
  <c r="F383" i="20" s="1"/>
  <c r="F384" i="20" s="1"/>
  <c r="F385" i="20" s="1"/>
  <c r="F386" i="20" s="1"/>
  <c r="F387" i="20" s="1"/>
  <c r="F388" i="20" s="1"/>
  <c r="F389" i="20" s="1"/>
  <c r="F390" i="20" s="1"/>
  <c r="F391" i="20" s="1"/>
  <c r="F392" i="20" s="1"/>
  <c r="F393" i="20" s="1"/>
  <c r="F394" i="20" s="1"/>
  <c r="F395" i="20" s="1"/>
  <c r="F396" i="20" s="1"/>
  <c r="F397" i="20" s="1"/>
  <c r="F398" i="20" s="1"/>
  <c r="F399" i="20" s="1"/>
  <c r="F400" i="20" s="1"/>
  <c r="F401" i="20" s="1"/>
  <c r="F402" i="20" s="1"/>
  <c r="F403" i="20" s="1"/>
  <c r="F404" i="20" s="1"/>
  <c r="F405" i="20" s="1"/>
  <c r="F406" i="20" s="1"/>
  <c r="F407" i="20" s="1"/>
  <c r="F408" i="20" s="1"/>
  <c r="F409" i="20" s="1"/>
  <c r="F410" i="20" s="1"/>
  <c r="F411" i="20" s="1"/>
  <c r="F412" i="20" s="1"/>
  <c r="F413" i="20" s="1"/>
  <c r="F414" i="20" s="1"/>
  <c r="F415" i="20" s="1"/>
  <c r="F416" i="20" s="1"/>
  <c r="F417" i="20" s="1"/>
  <c r="F418" i="20" s="1"/>
  <c r="F419" i="20" s="1"/>
  <c r="F420" i="20" s="1"/>
  <c r="F421" i="20" s="1"/>
  <c r="F422" i="20" s="1"/>
  <c r="F423" i="20" s="1"/>
  <c r="F424" i="20" s="1"/>
  <c r="F425" i="20" s="1"/>
  <c r="F426" i="20" s="1"/>
  <c r="F427" i="20" s="1"/>
  <c r="F428" i="20" s="1"/>
  <c r="F429" i="20" s="1"/>
  <c r="F430" i="20" s="1"/>
  <c r="F431" i="20" s="1"/>
  <c r="F432" i="20" s="1"/>
  <c r="F433" i="20" s="1"/>
  <c r="F434" i="20" s="1"/>
  <c r="F435" i="20" s="1"/>
  <c r="F436" i="20" s="1"/>
  <c r="F437" i="20" s="1"/>
  <c r="G25" i="20" l="1"/>
  <c r="G26" i="20" s="1"/>
  <c r="G27" i="20" s="1"/>
  <c r="G28" i="20" s="1"/>
  <c r="G29" i="20" s="1"/>
  <c r="G30" i="20" s="1"/>
  <c r="G31" i="20" s="1"/>
  <c r="G32" i="20" s="1"/>
  <c r="G33" i="20" s="1"/>
  <c r="G34" i="20" s="1"/>
  <c r="G35" i="20" s="1"/>
  <c r="G36" i="20" s="1"/>
  <c r="G37" i="20" s="1"/>
  <c r="G38" i="20" s="1"/>
  <c r="G39" i="20" s="1"/>
  <c r="G40" i="20" s="1"/>
  <c r="G41" i="20" s="1"/>
  <c r="G42" i="20" s="1"/>
  <c r="G43" i="20" s="1"/>
  <c r="G44" i="20" s="1"/>
  <c r="G45" i="20" s="1"/>
  <c r="G46" i="20" s="1"/>
  <c r="G47" i="20" s="1"/>
  <c r="G48" i="20" s="1"/>
  <c r="G49" i="20" s="1"/>
  <c r="G50" i="20" s="1"/>
  <c r="G51" i="20" s="1"/>
  <c r="G52" i="20" s="1"/>
  <c r="G53" i="20" s="1"/>
  <c r="G54" i="20" s="1"/>
  <c r="G55" i="20" s="1"/>
  <c r="G56" i="20" s="1"/>
  <c r="G57" i="20" s="1"/>
  <c r="G58" i="20" s="1"/>
  <c r="G59" i="20" s="1"/>
  <c r="G60" i="20" s="1"/>
  <c r="G61" i="20" s="1"/>
  <c r="G62" i="20" s="1"/>
  <c r="G63" i="20" s="1"/>
  <c r="G64" i="20" s="1"/>
  <c r="G65" i="20" s="1"/>
  <c r="G66" i="20" s="1"/>
  <c r="G67" i="20" s="1"/>
  <c r="G68" i="20" s="1"/>
  <c r="G69" i="20" s="1"/>
  <c r="G70" i="20" s="1"/>
  <c r="G71" i="20" s="1"/>
  <c r="G72" i="20" s="1"/>
  <c r="O24" i="20"/>
  <c r="G73" i="20" l="1"/>
  <c r="G74" i="20" s="1"/>
  <c r="G75" i="20" s="1"/>
  <c r="G76" i="20" s="1"/>
  <c r="G77" i="20" s="1"/>
  <c r="G78" i="20" s="1"/>
  <c r="G79" i="20" s="1"/>
  <c r="G80" i="20" s="1"/>
  <c r="G81" i="20" s="1"/>
  <c r="G82" i="20" s="1"/>
  <c r="G83" i="20" s="1"/>
  <c r="G84" i="20" s="1"/>
  <c r="O72" i="20"/>
  <c r="G85" i="20" l="1"/>
  <c r="G86" i="20" s="1"/>
  <c r="G87" i="20" s="1"/>
  <c r="G88" i="20" s="1"/>
  <c r="G89" i="20" s="1"/>
  <c r="G90" i="20" s="1"/>
  <c r="G91" i="20" s="1"/>
  <c r="G92" i="20" s="1"/>
  <c r="G93" i="20" s="1"/>
  <c r="G94" i="20" s="1"/>
  <c r="G95" i="20" s="1"/>
  <c r="G96" i="20" s="1"/>
  <c r="G97" i="20" s="1"/>
  <c r="G98" i="20" s="1"/>
  <c r="G99" i="20" s="1"/>
  <c r="G100" i="20" s="1"/>
  <c r="G101" i="20" s="1"/>
  <c r="G102" i="20" s="1"/>
  <c r="G103" i="20" s="1"/>
  <c r="G104" i="20" s="1"/>
  <c r="G105" i="20" s="1"/>
  <c r="G106" i="20" s="1"/>
  <c r="G107" i="20" s="1"/>
  <c r="G108" i="20" s="1"/>
  <c r="G109" i="20" s="1"/>
  <c r="G110" i="20" s="1"/>
  <c r="G111" i="20" s="1"/>
  <c r="G112" i="20" s="1"/>
  <c r="G113" i="20" s="1"/>
  <c r="G114" i="20" s="1"/>
  <c r="G115" i="20" s="1"/>
  <c r="G116" i="20" s="1"/>
  <c r="G117" i="20" s="1"/>
  <c r="G118" i="20" s="1"/>
  <c r="G119" i="20" s="1"/>
  <c r="G120" i="20" s="1"/>
  <c r="G121" i="20" s="1"/>
  <c r="G122" i="20" s="1"/>
  <c r="G123" i="20" s="1"/>
  <c r="G124" i="20" s="1"/>
  <c r="G125" i="20" s="1"/>
  <c r="G126" i="20" s="1"/>
  <c r="G127" i="20" s="1"/>
  <c r="G128" i="20" s="1"/>
  <c r="G129" i="20" s="1"/>
  <c r="G130" i="20" s="1"/>
  <c r="G131" i="20" s="1"/>
  <c r="G132" i="20" s="1"/>
  <c r="O84" i="20"/>
  <c r="M11" i="1"/>
  <c r="G133" i="20" l="1"/>
  <c r="G134" i="20" s="1"/>
  <c r="G135" i="20" s="1"/>
  <c r="G136" i="20" s="1"/>
  <c r="G137" i="20" s="1"/>
  <c r="G138" i="20" s="1"/>
  <c r="G139" i="20" s="1"/>
  <c r="G140" i="20" s="1"/>
  <c r="G141" i="20" s="1"/>
  <c r="G142" i="20" s="1"/>
  <c r="G143" i="20" s="1"/>
  <c r="G144" i="20" s="1"/>
  <c r="O132" i="20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62" i="1"/>
  <c r="B37" i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A36" i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E35" i="1"/>
  <c r="O144" i="20" l="1"/>
  <c r="G145" i="20"/>
  <c r="G146" i="20" s="1"/>
  <c r="G147" i="20" s="1"/>
  <c r="G148" i="20" s="1"/>
  <c r="G149" i="20" s="1"/>
  <c r="G150" i="20" s="1"/>
  <c r="G151" i="20" s="1"/>
  <c r="G152" i="20" s="1"/>
  <c r="G153" i="20" s="1"/>
  <c r="G154" i="20" s="1"/>
  <c r="G155" i="20" s="1"/>
  <c r="G156" i="20" s="1"/>
  <c r="G157" i="20" s="1"/>
  <c r="G158" i="20" s="1"/>
  <c r="G159" i="20" s="1"/>
  <c r="G160" i="20" s="1"/>
  <c r="G161" i="20" s="1"/>
  <c r="G162" i="20" s="1"/>
  <c r="G163" i="20" s="1"/>
  <c r="G164" i="20" s="1"/>
  <c r="G165" i="20" s="1"/>
  <c r="G166" i="20" s="1"/>
  <c r="G167" i="20" s="1"/>
  <c r="G168" i="20" s="1"/>
  <c r="G169" i="20" s="1"/>
  <c r="G170" i="20" s="1"/>
  <c r="G171" i="20" s="1"/>
  <c r="G172" i="20" s="1"/>
  <c r="G173" i="20" s="1"/>
  <c r="G174" i="20" s="1"/>
  <c r="G175" i="20" s="1"/>
  <c r="G176" i="20" s="1"/>
  <c r="G177" i="20" s="1"/>
  <c r="G178" i="20" s="1"/>
  <c r="G179" i="20" s="1"/>
  <c r="G180" i="20" s="1"/>
  <c r="G181" i="20" s="1"/>
  <c r="G182" i="20" s="1"/>
  <c r="G183" i="20" s="1"/>
  <c r="G184" i="20" s="1"/>
  <c r="G185" i="20" s="1"/>
  <c r="G186" i="20" s="1"/>
  <c r="G187" i="20" s="1"/>
  <c r="G188" i="20" s="1"/>
  <c r="G189" i="20" s="1"/>
  <c r="G190" i="20" s="1"/>
  <c r="G191" i="20" s="1"/>
  <c r="G192" i="20" s="1"/>
  <c r="N344" i="2"/>
  <c r="N343" i="2"/>
  <c r="G193" i="20" l="1"/>
  <c r="G194" i="20" s="1"/>
  <c r="G195" i="20" s="1"/>
  <c r="G196" i="20" s="1"/>
  <c r="G197" i="20" s="1"/>
  <c r="G198" i="20" s="1"/>
  <c r="G199" i="20" s="1"/>
  <c r="G200" i="20" s="1"/>
  <c r="G201" i="20" s="1"/>
  <c r="G202" i="20" s="1"/>
  <c r="G203" i="20" s="1"/>
  <c r="G204" i="20" s="1"/>
  <c r="O192" i="20"/>
  <c r="E71" i="2"/>
  <c r="N69" i="2"/>
  <c r="M69" i="2"/>
  <c r="G205" i="20" l="1"/>
  <c r="G206" i="20" s="1"/>
  <c r="G207" i="20" s="1"/>
  <c r="G208" i="20" s="1"/>
  <c r="G209" i="20" s="1"/>
  <c r="G210" i="20" s="1"/>
  <c r="G211" i="20" s="1"/>
  <c r="G212" i="20" s="1"/>
  <c r="G213" i="20" s="1"/>
  <c r="G214" i="20" s="1"/>
  <c r="G215" i="20" s="1"/>
  <c r="G216" i="20" s="1"/>
  <c r="G217" i="20" s="1"/>
  <c r="G218" i="20" s="1"/>
  <c r="G219" i="20" s="1"/>
  <c r="G220" i="20" s="1"/>
  <c r="G221" i="20" s="1"/>
  <c r="G222" i="20" s="1"/>
  <c r="G223" i="20" s="1"/>
  <c r="G224" i="20" s="1"/>
  <c r="G225" i="20" s="1"/>
  <c r="G226" i="20" s="1"/>
  <c r="G227" i="20" s="1"/>
  <c r="G228" i="20" s="1"/>
  <c r="G229" i="20" s="1"/>
  <c r="G230" i="20" s="1"/>
  <c r="G231" i="20" s="1"/>
  <c r="G232" i="20" s="1"/>
  <c r="G233" i="20" s="1"/>
  <c r="G234" i="20" s="1"/>
  <c r="G235" i="20" s="1"/>
  <c r="G236" i="20" s="1"/>
  <c r="G237" i="20" s="1"/>
  <c r="G238" i="20" s="1"/>
  <c r="G239" i="20" s="1"/>
  <c r="G240" i="20" s="1"/>
  <c r="G241" i="20" s="1"/>
  <c r="G242" i="20" s="1"/>
  <c r="G243" i="20" s="1"/>
  <c r="G244" i="20" s="1"/>
  <c r="G245" i="20" s="1"/>
  <c r="G246" i="20" s="1"/>
  <c r="G247" i="20" s="1"/>
  <c r="G248" i="20" s="1"/>
  <c r="G249" i="20" s="1"/>
  <c r="G250" i="20" s="1"/>
  <c r="G251" i="20" s="1"/>
  <c r="G252" i="20" s="1"/>
  <c r="O204" i="20"/>
  <c r="G253" i="20" l="1"/>
  <c r="G254" i="20" s="1"/>
  <c r="G255" i="20" s="1"/>
  <c r="G256" i="20" s="1"/>
  <c r="G257" i="20" s="1"/>
  <c r="G258" i="20" s="1"/>
  <c r="G259" i="20" s="1"/>
  <c r="G260" i="20" s="1"/>
  <c r="G261" i="20" s="1"/>
  <c r="G262" i="20" s="1"/>
  <c r="G263" i="20" s="1"/>
  <c r="G264" i="20" s="1"/>
  <c r="O252" i="20"/>
  <c r="E54" i="2"/>
  <c r="M52" i="2" s="1"/>
  <c r="N52" i="2"/>
  <c r="O264" i="20" l="1"/>
  <c r="G265" i="20"/>
  <c r="G266" i="20" s="1"/>
  <c r="G267" i="20" s="1"/>
  <c r="G268" i="20" s="1"/>
  <c r="G269" i="20" s="1"/>
  <c r="G270" i="20" s="1"/>
  <c r="G271" i="20" s="1"/>
  <c r="G272" i="20" s="1"/>
  <c r="G273" i="20" s="1"/>
  <c r="G274" i="20" s="1"/>
  <c r="G275" i="20" s="1"/>
  <c r="G276" i="20" s="1"/>
  <c r="G277" i="20" s="1"/>
  <c r="G278" i="20" s="1"/>
  <c r="G279" i="20" s="1"/>
  <c r="G280" i="20" s="1"/>
  <c r="G281" i="20" s="1"/>
  <c r="G282" i="20" s="1"/>
  <c r="G283" i="20" s="1"/>
  <c r="G284" i="20" s="1"/>
  <c r="G285" i="20" s="1"/>
  <c r="G286" i="20" s="1"/>
  <c r="G287" i="20" s="1"/>
  <c r="G288" i="20" s="1"/>
  <c r="G289" i="20" s="1"/>
  <c r="G290" i="20" s="1"/>
  <c r="G291" i="20" s="1"/>
  <c r="G292" i="20" s="1"/>
  <c r="G293" i="20" s="1"/>
  <c r="G294" i="20" s="1"/>
  <c r="G295" i="20" s="1"/>
  <c r="G296" i="20" s="1"/>
  <c r="G297" i="20" s="1"/>
  <c r="G298" i="20" s="1"/>
  <c r="G299" i="20" s="1"/>
  <c r="G300" i="20" s="1"/>
  <c r="G301" i="20" s="1"/>
  <c r="G302" i="20" s="1"/>
  <c r="G303" i="20" s="1"/>
  <c r="G304" i="20" s="1"/>
  <c r="G305" i="20" s="1"/>
  <c r="G306" i="20" s="1"/>
  <c r="G307" i="20" s="1"/>
  <c r="G308" i="20" s="1"/>
  <c r="G309" i="20" s="1"/>
  <c r="G310" i="20" s="1"/>
  <c r="G311" i="20" s="1"/>
  <c r="G312" i="20" s="1"/>
  <c r="E50" i="2"/>
  <c r="M48" i="2" s="1"/>
  <c r="N48" i="2"/>
  <c r="E46" i="2"/>
  <c r="M44" i="2" s="1"/>
  <c r="N44" i="2"/>
  <c r="O312" i="20" l="1"/>
  <c r="G313" i="20"/>
  <c r="G314" i="20" s="1"/>
  <c r="G315" i="20" s="1"/>
  <c r="G316" i="20" s="1"/>
  <c r="G317" i="20" s="1"/>
  <c r="G318" i="20" s="1"/>
  <c r="G319" i="20" s="1"/>
  <c r="G320" i="20" s="1"/>
  <c r="G321" i="20" s="1"/>
  <c r="G322" i="20" s="1"/>
  <c r="G323" i="20" s="1"/>
  <c r="G324" i="20" s="1"/>
  <c r="E42" i="2"/>
  <c r="M40" i="2" s="1"/>
  <c r="N40" i="2"/>
  <c r="G325" i="20" l="1"/>
  <c r="G326" i="20" s="1"/>
  <c r="G327" i="20" s="1"/>
  <c r="G328" i="20" s="1"/>
  <c r="G329" i="20" s="1"/>
  <c r="G330" i="20" s="1"/>
  <c r="G331" i="20" s="1"/>
  <c r="G332" i="20" s="1"/>
  <c r="G333" i="20" s="1"/>
  <c r="G334" i="20" s="1"/>
  <c r="G335" i="20" s="1"/>
  <c r="G336" i="20" s="1"/>
  <c r="G337" i="20" s="1"/>
  <c r="G338" i="20" s="1"/>
  <c r="G339" i="20" s="1"/>
  <c r="G340" i="20" s="1"/>
  <c r="G341" i="20" s="1"/>
  <c r="G342" i="20" s="1"/>
  <c r="G343" i="20" s="1"/>
  <c r="G344" i="20" s="1"/>
  <c r="G345" i="20" s="1"/>
  <c r="G346" i="20" s="1"/>
  <c r="G347" i="20" s="1"/>
  <c r="G348" i="20" s="1"/>
  <c r="G349" i="20" s="1"/>
  <c r="G350" i="20" s="1"/>
  <c r="G351" i="20" s="1"/>
  <c r="G352" i="20" s="1"/>
  <c r="G353" i="20" s="1"/>
  <c r="G354" i="20" s="1"/>
  <c r="G355" i="20" s="1"/>
  <c r="G356" i="20" s="1"/>
  <c r="G357" i="20" s="1"/>
  <c r="G358" i="20" s="1"/>
  <c r="G359" i="20" s="1"/>
  <c r="G360" i="20" s="1"/>
  <c r="G361" i="20" s="1"/>
  <c r="G362" i="20" s="1"/>
  <c r="G363" i="20" s="1"/>
  <c r="G364" i="20" s="1"/>
  <c r="G365" i="20" s="1"/>
  <c r="G366" i="20" s="1"/>
  <c r="G367" i="20" s="1"/>
  <c r="G368" i="20" s="1"/>
  <c r="G369" i="20" s="1"/>
  <c r="G370" i="20" s="1"/>
  <c r="G371" i="20" s="1"/>
  <c r="G372" i="20" s="1"/>
  <c r="O324" i="20"/>
  <c r="E38" i="2"/>
  <c r="M36" i="2" s="1"/>
  <c r="N36" i="2"/>
  <c r="G373" i="20" l="1"/>
  <c r="G374" i="20" s="1"/>
  <c r="G375" i="20" s="1"/>
  <c r="G376" i="20" s="1"/>
  <c r="G377" i="20" s="1"/>
  <c r="G378" i="20" s="1"/>
  <c r="G379" i="20" s="1"/>
  <c r="G380" i="20" s="1"/>
  <c r="G381" i="20" s="1"/>
  <c r="G382" i="20" s="1"/>
  <c r="G383" i="20" s="1"/>
  <c r="G384" i="20" s="1"/>
  <c r="O372" i="20"/>
  <c r="E34" i="2"/>
  <c r="N32" i="2"/>
  <c r="M32" i="2"/>
  <c r="E30" i="2"/>
  <c r="N28" i="2"/>
  <c r="M28" i="2"/>
  <c r="E26" i="2"/>
  <c r="N24" i="2"/>
  <c r="M24" i="2"/>
  <c r="O384" i="20" l="1"/>
  <c r="G385" i="20"/>
  <c r="G386" i="20" s="1"/>
  <c r="G387" i="20" s="1"/>
  <c r="G388" i="20" s="1"/>
  <c r="G389" i="20" s="1"/>
  <c r="G390" i="20" s="1"/>
  <c r="G391" i="20" s="1"/>
  <c r="G392" i="20" s="1"/>
  <c r="G393" i="20" s="1"/>
  <c r="G394" i="20" s="1"/>
  <c r="G395" i="20" s="1"/>
  <c r="G396" i="20" s="1"/>
  <c r="G397" i="20" s="1"/>
  <c r="G398" i="20" s="1"/>
  <c r="G399" i="20" s="1"/>
  <c r="G400" i="20" s="1"/>
  <c r="G401" i="20" s="1"/>
  <c r="G402" i="20" s="1"/>
  <c r="G403" i="20" s="1"/>
  <c r="G404" i="20" s="1"/>
  <c r="G405" i="20" s="1"/>
  <c r="G406" i="20" s="1"/>
  <c r="G407" i="20" s="1"/>
  <c r="G408" i="20" s="1"/>
  <c r="G409" i="20" s="1"/>
  <c r="G410" i="20" s="1"/>
  <c r="G411" i="20" s="1"/>
  <c r="G412" i="20" s="1"/>
  <c r="G413" i="20" s="1"/>
  <c r="G414" i="20" s="1"/>
  <c r="G415" i="20" s="1"/>
  <c r="G416" i="20" s="1"/>
  <c r="G417" i="20" s="1"/>
  <c r="G418" i="20" s="1"/>
  <c r="G419" i="20" s="1"/>
  <c r="G420" i="20" s="1"/>
  <c r="G421" i="20" s="1"/>
  <c r="G422" i="20" s="1"/>
  <c r="G423" i="20" s="1"/>
  <c r="G424" i="20" s="1"/>
  <c r="G425" i="20" s="1"/>
  <c r="G426" i="20" s="1"/>
  <c r="G427" i="20" s="1"/>
  <c r="G428" i="20" s="1"/>
  <c r="G429" i="20" s="1"/>
  <c r="G430" i="20" s="1"/>
  <c r="G431" i="20" s="1"/>
  <c r="G432" i="20" s="1"/>
  <c r="E22" i="2"/>
  <c r="M20" i="2" s="1"/>
  <c r="N20" i="2"/>
  <c r="E18" i="2"/>
  <c r="N16" i="2"/>
  <c r="M16" i="2"/>
  <c r="E14" i="2"/>
  <c r="N12" i="2"/>
  <c r="M12" i="2"/>
  <c r="O432" i="20" l="1"/>
  <c r="G433" i="20"/>
  <c r="G434" i="20" s="1"/>
  <c r="G435" i="20" s="1"/>
  <c r="G436" i="20" s="1"/>
  <c r="G437" i="20" s="1"/>
  <c r="G438" i="20" s="1"/>
  <c r="G439" i="20" s="1"/>
  <c r="G440" i="20" s="1"/>
  <c r="G441" i="20" s="1"/>
  <c r="G442" i="20" s="1"/>
  <c r="G443" i="20" s="1"/>
  <c r="G444" i="20" s="1"/>
  <c r="G445" i="20" s="1"/>
  <c r="G446" i="20" s="1"/>
  <c r="G447" i="20" s="1"/>
  <c r="G448" i="20" s="1"/>
  <c r="G449" i="20" s="1"/>
  <c r="G450" i="20" s="1"/>
  <c r="G451" i="20" s="1"/>
  <c r="G452" i="20" s="1"/>
  <c r="G453" i="20" s="1"/>
  <c r="G454" i="20" s="1"/>
  <c r="G455" i="20" s="1"/>
  <c r="G456" i="20" s="1"/>
  <c r="G457" i="20" s="1"/>
  <c r="G458" i="20" s="1"/>
  <c r="G459" i="20" s="1"/>
  <c r="G460" i="20" s="1"/>
  <c r="G461" i="20" s="1"/>
  <c r="G462" i="20" s="1"/>
  <c r="G463" i="20" s="1"/>
  <c r="G464" i="20" s="1"/>
  <c r="G465" i="20" s="1"/>
  <c r="G466" i="20" s="1"/>
  <c r="G467" i="20" s="1"/>
  <c r="G468" i="20" s="1"/>
  <c r="G469" i="20" s="1"/>
  <c r="G470" i="20" s="1"/>
  <c r="G471" i="20" s="1"/>
  <c r="G472" i="20" s="1"/>
  <c r="G473" i="20" s="1"/>
  <c r="G474" i="20" s="1"/>
  <c r="G475" i="20" s="1"/>
  <c r="G476" i="20" s="1"/>
  <c r="G477" i="20" s="1"/>
  <c r="G478" i="20" s="1"/>
  <c r="G479" i="20" s="1"/>
  <c r="G480" i="20" s="1"/>
  <c r="G481" i="20" s="1"/>
  <c r="G482" i="20" s="1"/>
  <c r="G483" i="20" s="1"/>
  <c r="G484" i="20" s="1"/>
  <c r="G485" i="20" s="1"/>
  <c r="E87" i="2"/>
  <c r="N85" i="2"/>
  <c r="M85" i="2"/>
  <c r="E82" i="2"/>
  <c r="N80" i="2"/>
  <c r="M80" i="2"/>
  <c r="M75" i="2"/>
  <c r="E77" i="2"/>
  <c r="N75" i="2"/>
  <c r="S7" i="2" l="1"/>
  <c r="T7" i="2" s="1"/>
  <c r="S6" i="2"/>
  <c r="T6" i="2" s="1"/>
  <c r="E117" i="2"/>
  <c r="M115" i="2" s="1"/>
  <c r="N115" i="2"/>
  <c r="E112" i="2"/>
  <c r="M110" i="2" s="1"/>
  <c r="N110" i="2"/>
  <c r="E106" i="2"/>
  <c r="M104" i="2" s="1"/>
  <c r="N104" i="2"/>
  <c r="E101" i="2"/>
  <c r="M99" i="2" s="1"/>
  <c r="N99" i="2"/>
  <c r="E95" i="2"/>
  <c r="M93" i="2" s="1"/>
  <c r="N93" i="2"/>
  <c r="E286" i="2"/>
  <c r="M284" i="2" s="1"/>
  <c r="N284" i="2"/>
  <c r="N279" i="2"/>
  <c r="E281" i="2"/>
  <c r="M279" i="2" s="1"/>
  <c r="E277" i="2"/>
  <c r="M275" i="2" s="1"/>
  <c r="N275" i="2"/>
  <c r="M254" i="2"/>
  <c r="E252" i="2"/>
  <c r="M250" i="2" s="1"/>
  <c r="N254" i="2"/>
  <c r="N250" i="2"/>
  <c r="M122" i="2"/>
  <c r="E124" i="2"/>
  <c r="N122" i="2"/>
  <c r="W3" i="2"/>
  <c r="W2" i="2"/>
  <c r="D97" i="2" l="1"/>
  <c r="D108" i="2"/>
  <c r="N207" i="2"/>
  <c r="M207" i="2"/>
  <c r="E205" i="2"/>
  <c r="M203" i="2" s="1"/>
  <c r="N203" i="2"/>
  <c r="N270" i="2"/>
  <c r="E272" i="2"/>
  <c r="M270" i="2" s="1"/>
  <c r="E134" i="2"/>
  <c r="M132" i="2" s="1"/>
  <c r="V105" i="2"/>
  <c r="X105" i="2" s="1"/>
  <c r="U105" i="2"/>
  <c r="V104" i="2"/>
  <c r="W104" i="2" s="1"/>
  <c r="U104" i="2"/>
  <c r="N132" i="2"/>
  <c r="B144" i="2"/>
  <c r="D151" i="2"/>
  <c r="O118" i="2"/>
  <c r="C144" i="2"/>
  <c r="N180" i="2"/>
  <c r="L155" i="2"/>
  <c r="L157" i="2" s="1"/>
  <c r="J155" i="2"/>
  <c r="J157" i="2" s="1"/>
  <c r="H155" i="2"/>
  <c r="H157" i="2" s="1"/>
  <c r="F155" i="2"/>
  <c r="F157" i="2" s="1"/>
  <c r="O126" i="2"/>
  <c r="S117" i="2"/>
  <c r="F145" i="2"/>
  <c r="E145" i="2"/>
  <c r="S115" i="2"/>
  <c r="R115" i="2"/>
  <c r="R132" i="2"/>
  <c r="M160" i="2"/>
  <c r="V111" i="2"/>
  <c r="X111" i="2" s="1"/>
  <c r="U111" i="2"/>
  <c r="V110" i="2"/>
  <c r="W110" i="2" s="1"/>
  <c r="U110" i="2"/>
  <c r="P118" i="2" l="1"/>
  <c r="B145" i="2" s="1"/>
  <c r="B146" i="2" s="1"/>
  <c r="P126" i="2"/>
  <c r="P127" i="2" s="1"/>
  <c r="R117" i="2"/>
  <c r="M143" i="2"/>
  <c r="S132" i="2"/>
  <c r="O136" i="2"/>
  <c r="N138" i="2"/>
  <c r="E140" i="2"/>
  <c r="M138" i="2" s="1"/>
  <c r="D146" i="2" l="1"/>
  <c r="B150" i="2"/>
  <c r="D148" i="2" s="1"/>
  <c r="N143" i="2"/>
  <c r="N144" i="2" s="1"/>
  <c r="E384" i="2"/>
  <c r="M382" i="2" s="1"/>
  <c r="N382" i="2"/>
  <c r="N369" i="2"/>
  <c r="N265" i="2"/>
  <c r="N260" i="2"/>
  <c r="N245" i="2"/>
  <c r="N240" i="2"/>
  <c r="N235" i="2"/>
  <c r="N230" i="2"/>
  <c r="N225" i="2"/>
  <c r="N219" i="2"/>
  <c r="N213" i="2"/>
  <c r="N192" i="2"/>
  <c r="E371" i="2"/>
  <c r="M369" i="2" s="1"/>
  <c r="F359" i="2" l="1"/>
  <c r="F350" i="2"/>
  <c r="F362" i="2"/>
  <c r="G358" i="2"/>
  <c r="G362" i="2" s="1"/>
  <c r="G357" i="2"/>
  <c r="H357" i="2" s="1"/>
  <c r="I357" i="2" s="1"/>
  <c r="J357" i="2" s="1"/>
  <c r="K357" i="2" s="1"/>
  <c r="L357" i="2" s="1"/>
  <c r="M357" i="2" s="1"/>
  <c r="N357" i="2" s="1"/>
  <c r="O329" i="2" s="1"/>
  <c r="P329" i="2" s="1"/>
  <c r="Q329" i="2" s="1"/>
  <c r="E357" i="2"/>
  <c r="M355" i="2" s="1"/>
  <c r="N355" i="2"/>
  <c r="G349" i="2"/>
  <c r="G350" i="2" s="1"/>
  <c r="G348" i="2"/>
  <c r="H348" i="2" s="1"/>
  <c r="I348" i="2" s="1"/>
  <c r="J348" i="2" s="1"/>
  <c r="K348" i="2" s="1"/>
  <c r="L348" i="2" s="1"/>
  <c r="M348" i="2" s="1"/>
  <c r="N348" i="2" s="1"/>
  <c r="O320" i="2" s="1"/>
  <c r="P320" i="2" s="1"/>
  <c r="Q320" i="2" s="1"/>
  <c r="E348" i="2"/>
  <c r="M346" i="2" s="1"/>
  <c r="N346" i="2"/>
  <c r="O171" i="2"/>
  <c r="L197" i="2"/>
  <c r="L199" i="2" s="1"/>
  <c r="J197" i="2"/>
  <c r="J199" i="2" s="1"/>
  <c r="H197" i="2"/>
  <c r="H199" i="2" s="1"/>
  <c r="F197" i="2"/>
  <c r="F199" i="2" s="1"/>
  <c r="S166" i="2"/>
  <c r="F194" i="2"/>
  <c r="E194" i="2"/>
  <c r="M192" i="2" s="1"/>
  <c r="S164" i="2"/>
  <c r="R164" i="2"/>
  <c r="E267" i="2"/>
  <c r="M265" i="2" s="1"/>
  <c r="G325" i="2"/>
  <c r="D327" i="2" s="1"/>
  <c r="E327" i="2" s="1"/>
  <c r="F327" i="2" s="1"/>
  <c r="G327" i="2" s="1"/>
  <c r="H327" i="2" s="1"/>
  <c r="I327" i="2" s="1"/>
  <c r="J327" i="2" s="1"/>
  <c r="K327" i="2" s="1"/>
  <c r="L327" i="2" s="1"/>
  <c r="M327" i="2" s="1"/>
  <c r="N327" i="2" s="1"/>
  <c r="O282" i="2" s="1"/>
  <c r="P282" i="2" s="1"/>
  <c r="Q282" i="2" s="1"/>
  <c r="R282" i="2" s="1"/>
  <c r="S282" i="2" s="1"/>
  <c r="T282" i="2" s="1"/>
  <c r="U282" i="2" s="1"/>
  <c r="V282" i="2" s="1"/>
  <c r="W282" i="2" s="1"/>
  <c r="X282" i="2" s="1"/>
  <c r="G314" i="2"/>
  <c r="D316" i="2" s="1"/>
  <c r="E316" i="2" s="1"/>
  <c r="F316" i="2" s="1"/>
  <c r="G316" i="2" s="1"/>
  <c r="H316" i="2" s="1"/>
  <c r="I316" i="2" s="1"/>
  <c r="J316" i="2" s="1"/>
  <c r="K316" i="2" s="1"/>
  <c r="L316" i="2" s="1"/>
  <c r="M316" i="2" s="1"/>
  <c r="N316" i="2" s="1"/>
  <c r="O271" i="2" s="1"/>
  <c r="P271" i="2" s="1"/>
  <c r="Q271" i="2" s="1"/>
  <c r="R271" i="2" s="1"/>
  <c r="S271" i="2" s="1"/>
  <c r="T271" i="2" s="1"/>
  <c r="U271" i="2" s="1"/>
  <c r="V271" i="2" s="1"/>
  <c r="W271" i="2" s="1"/>
  <c r="X271" i="2" s="1"/>
  <c r="E322" i="2"/>
  <c r="M320" i="2" s="1"/>
  <c r="N320" i="2"/>
  <c r="E311" i="2"/>
  <c r="M309" i="2" s="1"/>
  <c r="N309" i="2"/>
  <c r="E221" i="2"/>
  <c r="M219" i="2" s="1"/>
  <c r="E215" i="2"/>
  <c r="M213" i="2" s="1"/>
  <c r="E242" i="2"/>
  <c r="M240" i="2" s="1"/>
  <c r="E237" i="2"/>
  <c r="M235" i="2" s="1"/>
  <c r="E232" i="2"/>
  <c r="M230" i="2" s="1"/>
  <c r="E227" i="2"/>
  <c r="M225" i="2" s="1"/>
  <c r="S154" i="2"/>
  <c r="S152" i="2"/>
  <c r="R152" i="2"/>
  <c r="H358" i="2" l="1"/>
  <c r="H362" i="2" s="1"/>
  <c r="G359" i="2"/>
  <c r="H349" i="2"/>
  <c r="H350" i="2" s="1"/>
  <c r="H351" i="2" s="1"/>
  <c r="H352" i="2" s="1"/>
  <c r="P171" i="2"/>
  <c r="P172" i="2" s="1"/>
  <c r="R320" i="2"/>
  <c r="R329" i="2"/>
  <c r="R166" i="2"/>
  <c r="N193" i="2"/>
  <c r="E342" i="2"/>
  <c r="M340" i="2" s="1"/>
  <c r="N340" i="2"/>
  <c r="E337" i="2"/>
  <c r="M335" i="2" s="1"/>
  <c r="N335" i="2"/>
  <c r="I358" i="2" l="1"/>
  <c r="J358" i="2" s="1"/>
  <c r="H359" i="2"/>
  <c r="H360" i="2" s="1"/>
  <c r="H361" i="2" s="1"/>
  <c r="I349" i="2"/>
  <c r="J349" i="2" s="1"/>
  <c r="P309" i="2"/>
  <c r="R309" i="2" s="1"/>
  <c r="E262" i="2"/>
  <c r="M260" i="2" s="1"/>
  <c r="E247" i="2"/>
  <c r="M245" i="2" s="1"/>
  <c r="I362" i="2" l="1"/>
  <c r="I359" i="2"/>
  <c r="I350" i="2"/>
  <c r="J359" i="2"/>
  <c r="K358" i="2"/>
  <c r="J362" i="2"/>
  <c r="J350" i="2"/>
  <c r="K349" i="2"/>
  <c r="L358" i="2" l="1"/>
  <c r="K359" i="2"/>
  <c r="K362" i="2"/>
  <c r="K350" i="2"/>
  <c r="L349" i="2"/>
  <c r="L359" i="2" l="1"/>
  <c r="L362" i="2"/>
  <c r="M358" i="2"/>
  <c r="M349" i="2"/>
  <c r="L350" i="2"/>
  <c r="N349" i="2" l="1"/>
  <c r="M350" i="2"/>
  <c r="M359" i="2"/>
  <c r="M362" i="2"/>
  <c r="N358" i="2"/>
  <c r="N350" i="2" l="1"/>
  <c r="O321" i="2"/>
  <c r="N359" i="2"/>
  <c r="N362" i="2"/>
  <c r="O330" i="2"/>
  <c r="O322" i="2" l="1"/>
  <c r="P321" i="2"/>
  <c r="O331" i="2"/>
  <c r="P330" i="2"/>
  <c r="O334" i="2"/>
  <c r="P331" i="2" l="1"/>
  <c r="P334" i="2"/>
  <c r="Q330" i="2"/>
  <c r="P322" i="2"/>
  <c r="Q321" i="2"/>
  <c r="Q331" i="2" l="1"/>
  <c r="Q334" i="2"/>
  <c r="R330" i="2"/>
  <c r="Q322" i="2"/>
  <c r="R321" i="2"/>
  <c r="R322" i="2" s="1"/>
  <c r="R331" i="2" l="1"/>
  <c r="R334" i="2"/>
  <c r="H168" i="2" l="1"/>
  <c r="N168" i="2" s="1"/>
  <c r="E168" i="2"/>
  <c r="E170" i="2" s="1"/>
  <c r="O156" i="2"/>
  <c r="L185" i="2"/>
  <c r="L187" i="2" s="1"/>
  <c r="J185" i="2"/>
  <c r="J187" i="2" s="1"/>
  <c r="H185" i="2"/>
  <c r="H187" i="2" s="1"/>
  <c r="F185" i="2"/>
  <c r="F187" i="2" s="1"/>
  <c r="F182" i="2"/>
  <c r="E182" i="2"/>
  <c r="L162" i="2"/>
  <c r="L164" i="2" s="1"/>
  <c r="J162" i="2"/>
  <c r="J164" i="2" s="1"/>
  <c r="H162" i="2"/>
  <c r="H164" i="2" s="1"/>
  <c r="F162" i="2"/>
  <c r="F164" i="2" s="1"/>
  <c r="N160" i="2" s="1"/>
  <c r="O3" i="2"/>
  <c r="M180" i="2" l="1"/>
  <c r="N181" i="2" s="1"/>
  <c r="N161" i="2"/>
  <c r="N162" i="2"/>
  <c r="P136" i="2"/>
  <c r="R154" i="2"/>
  <c r="M168" i="2"/>
  <c r="P156" i="2"/>
  <c r="P157" i="2" s="1"/>
  <c r="P137" i="2" l="1"/>
  <c r="N166" i="2"/>
</calcChain>
</file>

<file path=xl/sharedStrings.xml><?xml version="1.0" encoding="utf-8"?>
<sst xmlns="http://schemas.openxmlformats.org/spreadsheetml/2006/main" count="1858" uniqueCount="348">
  <si>
    <t xml:space="preserve">http://www.cgd.ucar.edu/cas/catalog/newbudgets/index.html#ERBEFs </t>
  </si>
  <si>
    <t>Most data assembled comes from matlab extractions from</t>
  </si>
  <si>
    <t>first matlab file from a UCAR download</t>
  </si>
  <si>
    <t>It reformats the material</t>
  </si>
  <si>
    <t>second and third were written by Michael Wallace</t>
  </si>
  <si>
    <t>and</t>
  </si>
  <si>
    <t>The _____- file is designed to read scalar values and facilitate contour mapping along with time series extractions</t>
  </si>
  <si>
    <t>The _____- file is designed to read vector values and facilitate vector mapping along with time series extractions of vector magnitudes</t>
  </si>
  <si>
    <t>pre and post processing for satellite data retrieval</t>
  </si>
  <si>
    <t>total number of columns in LEDICData</t>
  </si>
  <si>
    <t>often this data is produced as gridded values in .nc format</t>
  </si>
  <si>
    <t>nsets</t>
  </si>
  <si>
    <t>check</t>
  </si>
  <si>
    <t>I use Matlab functions to read this and so some excel work is helpful</t>
  </si>
  <si>
    <t>cols per set</t>
  </si>
  <si>
    <t>after processing, rows and columns reversed for lat long mapping</t>
  </si>
  <si>
    <t>rows per set</t>
  </si>
  <si>
    <t>TWWP BOX</t>
  </si>
  <si>
    <t>deg per column</t>
  </si>
  <si>
    <t>deg per row</t>
  </si>
  <si>
    <t>TWWP left longitude</t>
  </si>
  <si>
    <t>TWWP right longitude</t>
  </si>
  <si>
    <t>TWWP bottom Latitude</t>
  </si>
  <si>
    <t>TWWP top Latitude</t>
  </si>
  <si>
    <t>global lat start deg</t>
  </si>
  <si>
    <t>global lat end deg</t>
  </si>
  <si>
    <t>global long start deg</t>
  </si>
  <si>
    <t>global long end deg</t>
  </si>
  <si>
    <t>TWWP col left longitude</t>
  </si>
  <si>
    <t>TWWP col right longitude</t>
  </si>
  <si>
    <t>TWWP row top Latitude</t>
  </si>
  <si>
    <t>TWWP row bottom Latitude</t>
  </si>
  <si>
    <t>data cols per TWWP</t>
  </si>
  <si>
    <t>data rows per TWWP</t>
  </si>
  <si>
    <t>span deg</t>
  </si>
  <si>
    <t>mid long</t>
  </si>
  <si>
    <t>span cols</t>
  </si>
  <si>
    <t>span rows</t>
  </si>
  <si>
    <t>span lat divisions</t>
  </si>
  <si>
    <t>span long divisions</t>
  </si>
  <si>
    <t>mid lat</t>
  </si>
  <si>
    <t>URGW BOX</t>
  </si>
  <si>
    <t>URGW left longitude</t>
  </si>
  <si>
    <t>URGW right longitude</t>
  </si>
  <si>
    <t>URGW bottom Latitude</t>
  </si>
  <si>
    <t>URGW top Latitude</t>
  </si>
  <si>
    <t>URGW col left longitude</t>
  </si>
  <si>
    <t>URGW col right longitude</t>
  </si>
  <si>
    <t>URGW row top Latitude</t>
  </si>
  <si>
    <t>URGW row bottom Latitude</t>
  </si>
  <si>
    <t>corrected</t>
  </si>
  <si>
    <t>PnP POINT</t>
  </si>
  <si>
    <t>PnP point longitude</t>
  </si>
  <si>
    <t>PnP point Latitude</t>
  </si>
  <si>
    <t>PnP Point UCAR X</t>
  </si>
  <si>
    <t>PnP point UCAR Y</t>
  </si>
  <si>
    <t>Animas POINT</t>
  </si>
  <si>
    <t>Animas point longitude</t>
  </si>
  <si>
    <t>Animas point Latitude</t>
  </si>
  <si>
    <t>Animas Point UCAR X</t>
  </si>
  <si>
    <t>Animas point UCAR Y</t>
  </si>
  <si>
    <t>Gila POINT</t>
  </si>
  <si>
    <t>Gila point longitude</t>
  </si>
  <si>
    <t>Gila point Latitude</t>
  </si>
  <si>
    <t>Gila Point UCAR X</t>
  </si>
  <si>
    <t>Gila point UCAR Y</t>
  </si>
  <si>
    <t>left OLR eq PT</t>
  </si>
  <si>
    <t>left OLR equator point longitude</t>
  </si>
  <si>
    <t>left OLR equator point Latitude</t>
  </si>
  <si>
    <t>left OLR equator Point UCAR X</t>
  </si>
  <si>
    <t>left OLR equator point UCAR Y</t>
  </si>
  <si>
    <t>no correction needed</t>
  </si>
  <si>
    <t>since west of 180</t>
  </si>
  <si>
    <t>right OLR eq PT</t>
  </si>
  <si>
    <t>right OLR equator point longitude</t>
  </si>
  <si>
    <t>right OLR equator point Latitude</t>
  </si>
  <si>
    <t>right OLR equator Point UCAR X</t>
  </si>
  <si>
    <t>right OLR equator point UCAR Y</t>
  </si>
  <si>
    <t>EF4 - Bithur/Kanpur PT</t>
  </si>
  <si>
    <t>EF4 - Bithur/Kanpur point longitude</t>
  </si>
  <si>
    <t>EF4 - Bithur/Kanpur point Latitude</t>
  </si>
  <si>
    <t>EF4 - Bithur/Kanpur Point UCAR X</t>
  </si>
  <si>
    <t>EF4 - Bithur/Kanpur point UCAR Y</t>
  </si>
  <si>
    <t>TWWP CENTER</t>
  </si>
  <si>
    <t>TWWP center point longitude</t>
  </si>
  <si>
    <t>TWWP center point Latitude</t>
  </si>
  <si>
    <t>TWWP center Point UCAR X</t>
  </si>
  <si>
    <t>TWWP center point UCAR Y</t>
  </si>
  <si>
    <t>ok</t>
  </si>
  <si>
    <t>year.mon</t>
  </si>
  <si>
    <t>http://www.cpc.ncep.noaa.gov/data/indices/cpac850</t>
  </si>
  <si>
    <t>Independent TWWP source</t>
  </si>
  <si>
    <t>paste values</t>
  </si>
  <si>
    <t>na</t>
  </si>
  <si>
    <t>LandvanL CENTER</t>
  </si>
  <si>
    <t>LandvanL center point longitude</t>
  </si>
  <si>
    <t>LandvanL center point Latitude</t>
  </si>
  <si>
    <t>LandvanL center Point UCAR X</t>
  </si>
  <si>
    <t>LandvanL center point UCAR Y</t>
  </si>
  <si>
    <t>Charleston CENTER</t>
  </si>
  <si>
    <t>Charleston center point longitude</t>
  </si>
  <si>
    <t>Charleston center point Latitude</t>
  </si>
  <si>
    <t>Charleston center Point UCAR X</t>
  </si>
  <si>
    <t>Charleston center point UCAR Y</t>
  </si>
  <si>
    <t>particle introduction A</t>
  </si>
  <si>
    <t>rough guess particle introduction Apoint longitude</t>
  </si>
  <si>
    <t>rough guessparticle introduction A point Latitude</t>
  </si>
  <si>
    <t>rough guess particle introduction APoint UCAR X</t>
  </si>
  <si>
    <t>rough guess particle introduction A point UCAR Y</t>
  </si>
  <si>
    <t>rows</t>
  </si>
  <si>
    <t>start</t>
  </si>
  <si>
    <t>end</t>
  </si>
  <si>
    <t>number particles</t>
  </si>
  <si>
    <t>number of rows to skip</t>
  </si>
  <si>
    <t>paste value rows</t>
  </si>
  <si>
    <t>L130 Q capture CENTER</t>
  </si>
  <si>
    <t>L130 Q capture center point longitude</t>
  </si>
  <si>
    <t>L130 Q capture center point Latitude</t>
  </si>
  <si>
    <t>L130 Q capture center Point UCAR X</t>
  </si>
  <si>
    <t>L130 Q capture center point UCAR Y</t>
  </si>
  <si>
    <t>L130 Q capture bottom CENTER</t>
  </si>
  <si>
    <t>L130 Q capture bottom center point longitude</t>
  </si>
  <si>
    <t>L130 Q capture bottom center point Latitude</t>
  </si>
  <si>
    <t>L130 Q capture bottom center Point UCAR X</t>
  </si>
  <si>
    <t>L130 Q capture bottom center point UCAR Y</t>
  </si>
  <si>
    <t>row diff</t>
  </si>
  <si>
    <t>row lat degree equiv. span</t>
  </si>
  <si>
    <t>particle introduction B</t>
  </si>
  <si>
    <t>rough guessparticle introduction B point Latitude</t>
  </si>
  <si>
    <t>rough guess particle introduction Bpoint longitude</t>
  </si>
  <si>
    <t>rough guess particle introduction BPoint UCAR X</t>
  </si>
  <si>
    <t>rough guess particle introduction Bpoint UCAR Y</t>
  </si>
  <si>
    <t>TWWP midpoint actual Longitude</t>
  </si>
  <si>
    <t>TWWP midpoint actual Laitude</t>
  </si>
  <si>
    <t>corrected for full 360 deg longitude style</t>
  </si>
  <si>
    <t>Particle Track Origin Points</t>
  </si>
  <si>
    <t>Mt. St. Helens CENTER</t>
  </si>
  <si>
    <t>Mt. St. Helens center point longitude</t>
  </si>
  <si>
    <t>Mt. St. Helens center point Latitude</t>
  </si>
  <si>
    <t>Mt. St. Helens center Point UCAR X</t>
  </si>
  <si>
    <t>Mt. St. Helens center point UCAR Y</t>
  </si>
  <si>
    <t>Ganges BOX</t>
  </si>
  <si>
    <t>Ganges left longitude</t>
  </si>
  <si>
    <t>Ganges right longitude</t>
  </si>
  <si>
    <t>Ganges bottom Latitude</t>
  </si>
  <si>
    <t>Ganges top Latitude</t>
  </si>
  <si>
    <t>Ganges col left longitude</t>
  </si>
  <si>
    <t>Ganges col right longitude</t>
  </si>
  <si>
    <t>Ganges row top Latitude</t>
  </si>
  <si>
    <t>Ganges row bottom Latitude</t>
  </si>
  <si>
    <t>Tic EW POINT</t>
  </si>
  <si>
    <t>Tic EW point longitude</t>
  </si>
  <si>
    <t>Tic EW point Latitude</t>
  </si>
  <si>
    <t>Tic EW Point UCAR X</t>
  </si>
  <si>
    <t>Tic EW point UCAR Y</t>
  </si>
  <si>
    <t>Tic NS POINT</t>
  </si>
  <si>
    <t>Tic NS point longitude</t>
  </si>
  <si>
    <t>Tic NS point Latitude</t>
  </si>
  <si>
    <t>Tic NS Point UCAR X</t>
  </si>
  <si>
    <t>Tic NS point UCAR Y</t>
  </si>
  <si>
    <t>Tic longitude</t>
  </si>
  <si>
    <t>Tic UCAR X</t>
  </si>
  <si>
    <t>Tic latitude</t>
  </si>
  <si>
    <t>Tic UCAR Y</t>
  </si>
  <si>
    <t>SETTING THE TIC MARKS SO MY AXES LABELS WILL CONFORM TO CONVENTION</t>
  </si>
  <si>
    <t>DIFF</t>
  </si>
  <si>
    <t>total</t>
  </si>
  <si>
    <t>Bio Bio POINT</t>
  </si>
  <si>
    <t>Bio Bio point longitude</t>
  </si>
  <si>
    <t>Bio Bio point Latitude</t>
  </si>
  <si>
    <t>Bio Bio Point UCAR X</t>
  </si>
  <si>
    <t>Bio Bio point UCAR Y</t>
  </si>
  <si>
    <t>#of cols</t>
  </si>
  <si>
    <t>#of rows</t>
  </si>
  <si>
    <t>Tahiti</t>
  </si>
  <si>
    <t>rough guess Tahitipoint longitude</t>
  </si>
  <si>
    <t>rough guessTahiti point Latitude</t>
  </si>
  <si>
    <t>rough guess TahitiPoint UCAR X</t>
  </si>
  <si>
    <t>rough guess Tahiti point UCAR Y</t>
  </si>
  <si>
    <t>rough guess GSLpoint longitude</t>
  </si>
  <si>
    <t>rough guessGSL point Latitude</t>
  </si>
  <si>
    <t>rough guess GSLPoint UCAR X</t>
  </si>
  <si>
    <t>rough guess GSL point UCAR Y</t>
  </si>
  <si>
    <t>GSL</t>
  </si>
  <si>
    <t>rough guess RioBioBiopoint longitude</t>
  </si>
  <si>
    <t>rough guessRioBioBio point Latitude</t>
  </si>
  <si>
    <t>rough guess RioBioBioPoint UCAR X</t>
  </si>
  <si>
    <t>rough guess RioBioBio point UCAR Y</t>
  </si>
  <si>
    <t>LFUT</t>
  </si>
  <si>
    <t>LFUT point longitude</t>
  </si>
  <si>
    <t>LFUT point Latitude</t>
  </si>
  <si>
    <t>LFUT Point UCAR X</t>
  </si>
  <si>
    <t>LFUT point UCAR Y</t>
  </si>
  <si>
    <t>Boulder CENTER</t>
  </si>
  <si>
    <t>Boulder center point longitude</t>
  </si>
  <si>
    <t>Boulder center point Latitude</t>
  </si>
  <si>
    <t>Boulder center point UCAR Y</t>
  </si>
  <si>
    <t>circumference of earth along equator km</t>
  </si>
  <si>
    <t>circumference of earth along equator m</t>
  </si>
  <si>
    <t>degrees per circumference</t>
  </si>
  <si>
    <t>km/deg</t>
  </si>
  <si>
    <t>km/column</t>
  </si>
  <si>
    <t>equatorial</t>
  </si>
  <si>
    <t>meridional</t>
  </si>
  <si>
    <t>type of circumference</t>
  </si>
  <si>
    <t>km/row</t>
  </si>
  <si>
    <t>Colorado Boundary BOX</t>
  </si>
  <si>
    <t>Colorado Boundary left longitude</t>
  </si>
  <si>
    <t>Colorado Boundary right longitude</t>
  </si>
  <si>
    <t>Colorado Boundary bottom Latitude</t>
  </si>
  <si>
    <t>Colorado Boundary top Latitude</t>
  </si>
  <si>
    <t>Colorado Boundary col left longitude</t>
  </si>
  <si>
    <t>Colorado Boundary col right longitude</t>
  </si>
  <si>
    <t>Colorado Boundary row top Latitude</t>
  </si>
  <si>
    <t>Colorado Boundary row bottom Latitude</t>
  </si>
  <si>
    <t>Boulder center point UCAR X</t>
  </si>
  <si>
    <t>hot spot</t>
  </si>
  <si>
    <t>key row color</t>
  </si>
  <si>
    <t>key column Long colr</t>
  </si>
  <si>
    <t>number of cells</t>
  </si>
  <si>
    <t>Arkansas River nr CanonCityCO CENTER</t>
  </si>
  <si>
    <t>Arkansas River nr CanonCityCO center point longitude</t>
  </si>
  <si>
    <t>Arkansas River nr CanonCityCO center point Latitude</t>
  </si>
  <si>
    <t>Arkansas River nr CanonCityCO center point UCAR X</t>
  </si>
  <si>
    <t>Arkansas River nr CanonCityCO center point UCAR Y</t>
  </si>
  <si>
    <t>Gyre point</t>
  </si>
  <si>
    <t>Gyre center point Latitude</t>
  </si>
  <si>
    <t>Gyre center Point UCAR X</t>
  </si>
  <si>
    <t>Gyre center point UCAR Y</t>
  </si>
  <si>
    <t>Gyre center point longitude</t>
  </si>
  <si>
    <t>approx</t>
  </si>
  <si>
    <t>deg</t>
  </si>
  <si>
    <t>km</t>
  </si>
  <si>
    <t>circum km</t>
  </si>
  <si>
    <t>km per deg</t>
  </si>
  <si>
    <t>Shayne work Central Africa</t>
  </si>
  <si>
    <t>Shayne UCAR X</t>
  </si>
  <si>
    <t>Shayne UCAR Y</t>
  </si>
  <si>
    <t>center point longitude</t>
  </si>
  <si>
    <t xml:space="preserve"> center point Latitude</t>
  </si>
  <si>
    <t>AlwaysWet CENTER</t>
  </si>
  <si>
    <t>Hawaii</t>
  </si>
  <si>
    <t>center point Latitude</t>
  </si>
  <si>
    <t xml:space="preserve"> center point Longitude</t>
  </si>
  <si>
    <t>Devil's Hole, NV</t>
  </si>
  <si>
    <t>Chicago, IL</t>
  </si>
  <si>
    <t>UCAR X</t>
  </si>
  <si>
    <t>UCAR Y</t>
  </si>
  <si>
    <t>Glacier Park</t>
  </si>
  <si>
    <t>swirl curl hawaii centered</t>
  </si>
  <si>
    <t>llc</t>
  </si>
  <si>
    <t>ulc</t>
  </si>
  <si>
    <t>urc</t>
  </si>
  <si>
    <t>lrc</t>
  </si>
  <si>
    <t>number of X divisions</t>
  </si>
  <si>
    <t>number of Y divisions</t>
  </si>
  <si>
    <t>Hawaii UCAR X</t>
  </si>
  <si>
    <t>Hawaii UCAR Y</t>
  </si>
  <si>
    <t xml:space="preserve"> UCAR Y</t>
  </si>
  <si>
    <t xml:space="preserve"> UCAR X</t>
  </si>
  <si>
    <t>Seoul UCAR X</t>
  </si>
  <si>
    <t>Seoul UCAR Y</t>
  </si>
  <si>
    <t>Seoul</t>
  </si>
  <si>
    <t>note 'corrected' only for sites with initial negative longitude</t>
  </si>
  <si>
    <t>that factors into the UCAR x calculation</t>
  </si>
  <si>
    <t>and must manually adjust cell call</t>
  </si>
  <si>
    <t>Wuhan</t>
  </si>
  <si>
    <t>Wuhan UCAR X</t>
  </si>
  <si>
    <t>Wuhan UCAR Y</t>
  </si>
  <si>
    <t>Singapore</t>
  </si>
  <si>
    <t>Singapore UCAR X</t>
  </si>
  <si>
    <t>Singapore UCAR Y</t>
  </si>
  <si>
    <t>in Matlab:</t>
  </si>
  <si>
    <t>rr</t>
  </si>
  <si>
    <t>rrr</t>
  </si>
  <si>
    <t>for lat long</t>
  </si>
  <si>
    <t>Congo R.</t>
  </si>
  <si>
    <t>Okavango R</t>
  </si>
  <si>
    <t>Ouergha R</t>
  </si>
  <si>
    <t>applicable</t>
  </si>
  <si>
    <t>Gambella R</t>
  </si>
  <si>
    <t>Awash R</t>
  </si>
  <si>
    <t>Garissa R</t>
  </si>
  <si>
    <t>Parana R at Posadas</t>
  </si>
  <si>
    <t>Banabuiu R</t>
  </si>
  <si>
    <t>ACARAU R</t>
  </si>
  <si>
    <t xml:space="preserve"> JAGUARIBE R</t>
  </si>
  <si>
    <t>Matadero R</t>
  </si>
  <si>
    <t>Guam</t>
  </si>
  <si>
    <t>calculating som lats</t>
  </si>
  <si>
    <t>Some brief notes on this vertical integration.</t>
  </si>
  <si>
    <t>fraction of atmospheric thickness, where 0. is the TOA and 1. is the Earth's surface</t>
  </si>
  <si>
    <t>fraction</t>
  </si>
  <si>
    <t>interface count</t>
  </si>
  <si>
    <t>layer count</t>
  </si>
  <si>
    <t>est elevation m</t>
  </si>
  <si>
    <t>est elevation km</t>
  </si>
  <si>
    <t>est pressure Pa</t>
  </si>
  <si>
    <t xml:space="preserve">from UCAR description </t>
  </si>
  <si>
    <t>surface</t>
  </si>
  <si>
    <t>PBL</t>
  </si>
  <si>
    <t>Tropopause</t>
  </si>
  <si>
    <t>annotate layers approx</t>
  </si>
  <si>
    <t>stratosphere</t>
  </si>
  <si>
    <t>literature Temperature? Deg C</t>
  </si>
  <si>
    <t>literature Temperature? K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</si>
  <si>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</si>
  <si>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</si>
  <si>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</si>
  <si>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</si>
  <si>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</si>
  <si>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</si>
  <si>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</si>
  <si>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</si>
  <si>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</si>
  <si>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POLAR related</t>
  </si>
  <si>
    <t>Oct</t>
  </si>
  <si>
    <t>Nov</t>
  </si>
  <si>
    <t>years</t>
  </si>
  <si>
    <t>Dec</t>
  </si>
  <si>
    <t>Mt St Helens</t>
  </si>
  <si>
    <t>el Chicon</t>
  </si>
  <si>
    <t>Pinatubo</t>
  </si>
  <si>
    <t>for comparison to Robck Plot</t>
  </si>
  <si>
    <t>big el nino</t>
  </si>
  <si>
    <t>low enso</t>
  </si>
  <si>
    <t>high tornado month/year</t>
  </si>
  <si>
    <t>low tornado activity</t>
  </si>
  <si>
    <t>Lliama chile</t>
  </si>
  <si>
    <t>pdsi ex 1 beg</t>
  </si>
  <si>
    <t>pdsi ex 1 end</t>
  </si>
  <si>
    <t>cols /month</t>
  </si>
  <si>
    <t>months/yr</t>
  </si>
  <si>
    <t>yrs</t>
  </si>
  <si>
    <t>last full yr</t>
  </si>
  <si>
    <t>first full yr</t>
  </si>
  <si>
    <t>total # cols</t>
  </si>
  <si>
    <t>starting column number matlab</t>
  </si>
  <si>
    <t>final column</t>
  </si>
  <si>
    <t>start of columns for final month</t>
  </si>
  <si>
    <t>Arctic Origin line at 80N</t>
  </si>
  <si>
    <t>Antarctic Origin line at 80S</t>
  </si>
  <si>
    <t xml:space="preserve">to use, copy top four rows </t>
  </si>
  <si>
    <t>then paste below</t>
  </si>
  <si>
    <t>then enter lat and long (blue numbers)</t>
  </si>
  <si>
    <t>voila</t>
  </si>
  <si>
    <t>use this to identify a month number range to enter into rbeg and rend in matlab codes</t>
  </si>
  <si>
    <t>no warranties expressed or implied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</si>
</sst>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6" formatCode="_(* #,##0_);_(* \(#,##0\);_(* &quot;-&quot;??_);_(@_)"/>
    <numFmt numFmtId="167" formatCode="0.0000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i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0"/>
      <name val="Calibri"/>
      <family val="2"/>
      <scheme val="minor"/>
    </font>
    <font>
      <sz val="10"/>
      <color rgb="FF0066FF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i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sz val="10"/>
      <color theme="3" tint="0.59999389629810485"/>
      <name val="Calibri"/>
      <family val="2"/>
      <scheme val="minor"/>
    </font>
    <font>
      <sz val="10"/>
      <color theme="4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00FF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43" fontId="12" fillId="0" borderId="0" applyFont="0" applyFill="0" applyBorder="0" applyAlignment="0" applyProtection="0"/>
    <xf numFmtId="0" fontId="23" fillId="8" borderId="0" applyNumberFormat="0" applyBorder="0" applyAlignment="0" applyProtection="0"/>
    <xf numFmtId="0" fontId="24" fillId="9" borderId="8" applyNumberFormat="0" applyAlignment="0" applyProtection="0"/>
  </cellStyleXfs>
  <cellXfs count="123">
    <xf numFmtId="0" fontId="0" fillId="0" borderId="0" xfId="0"/>
    <xf numFmtId="0" fontId="3" fillId="0" borderId="0" xfId="3" applyAlignment="1" applyProtection="1">
      <alignment horizontal="left" readingOrder="1"/>
    </xf>
    <xf numFmtId="0" fontId="4" fillId="0" borderId="0" xfId="0" applyFont="1"/>
    <xf numFmtId="0" fontId="0" fillId="0" borderId="0" xfId="0" applyAlignment="1">
      <alignment horizontal="right"/>
    </xf>
    <xf numFmtId="0" fontId="4" fillId="0" borderId="0" xfId="0" applyFont="1" applyAlignment="1">
      <alignment wrapText="1"/>
    </xf>
    <xf numFmtId="0" fontId="0" fillId="0" borderId="0" xfId="0" applyAlignment="1">
      <alignment wrapText="1"/>
    </xf>
    <xf numFmtId="0" fontId="1" fillId="2" borderId="0" xfId="1"/>
    <xf numFmtId="0" fontId="5" fillId="4" borderId="0" xfId="0" applyFont="1" applyFill="1" applyAlignment="1">
      <alignment horizontal="center"/>
    </xf>
    <xf numFmtId="0" fontId="4" fillId="0" borderId="1" xfId="0" applyFont="1" applyBorder="1" applyAlignment="1">
      <alignment wrapText="1"/>
    </xf>
    <xf numFmtId="0" fontId="4" fillId="0" borderId="2" xfId="0" applyFont="1" applyBorder="1" applyAlignment="1">
      <alignment wrapText="1"/>
    </xf>
    <xf numFmtId="0" fontId="0" fillId="0" borderId="3" xfId="0" applyBorder="1" applyAlignment="1">
      <alignment wrapText="1"/>
    </xf>
    <xf numFmtId="0" fontId="6" fillId="0" borderId="0" xfId="0" applyFont="1"/>
    <xf numFmtId="0" fontId="4" fillId="0" borderId="3" xfId="0" applyFont="1" applyBorder="1"/>
    <xf numFmtId="0" fontId="6" fillId="0" borderId="3" xfId="0" applyFont="1" applyBorder="1"/>
    <xf numFmtId="1" fontId="2" fillId="3" borderId="0" xfId="2" applyNumberFormat="1"/>
    <xf numFmtId="0" fontId="0" fillId="0" borderId="3" xfId="0" applyBorder="1"/>
    <xf numFmtId="0" fontId="4" fillId="0" borderId="3" xfId="0" applyFont="1" applyBorder="1" applyAlignment="1">
      <alignment wrapText="1"/>
    </xf>
    <xf numFmtId="2" fontId="0" fillId="0" borderId="0" xfId="0" applyNumberFormat="1"/>
    <xf numFmtId="1" fontId="1" fillId="2" borderId="0" xfId="1" applyNumberFormat="1"/>
    <xf numFmtId="1" fontId="0" fillId="0" borderId="0" xfId="0" applyNumberFormat="1"/>
    <xf numFmtId="1" fontId="4" fillId="0" borderId="0" xfId="0" applyNumberFormat="1" applyFont="1"/>
    <xf numFmtId="0" fontId="7" fillId="0" borderId="0" xfId="0" applyFont="1"/>
    <xf numFmtId="0" fontId="8" fillId="0" borderId="0" xfId="0" applyFont="1"/>
    <xf numFmtId="0" fontId="4" fillId="5" borderId="0" xfId="0" applyFont="1" applyFill="1"/>
    <xf numFmtId="0" fontId="6" fillId="5" borderId="0" xfId="0" applyFont="1" applyFill="1"/>
    <xf numFmtId="0" fontId="5" fillId="4" borderId="0" xfId="0" applyFont="1" applyFill="1" applyAlignment="1">
      <alignment horizontal="center" wrapText="1"/>
    </xf>
    <xf numFmtId="0" fontId="5" fillId="4" borderId="4" xfId="0" applyFont="1" applyFill="1" applyBorder="1" applyAlignment="1">
      <alignment horizontal="center" wrapText="1"/>
    </xf>
    <xf numFmtId="0" fontId="4" fillId="0" borderId="5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4" fillId="4" borderId="6" xfId="0" applyFont="1" applyFill="1" applyBorder="1" applyAlignment="1">
      <alignment horizontal="center" wrapText="1"/>
    </xf>
    <xf numFmtId="0" fontId="4" fillId="4" borderId="5" xfId="0" applyFont="1" applyFill="1" applyBorder="1" applyAlignment="1">
      <alignment horizontal="center" wrapText="1"/>
    </xf>
    <xf numFmtId="0" fontId="0" fillId="0" borderId="4" xfId="0" applyBorder="1"/>
    <xf numFmtId="164" fontId="1" fillId="2" borderId="3" xfId="1" applyNumberFormat="1" applyBorder="1" applyAlignment="1">
      <alignment horizontal="center"/>
    </xf>
    <xf numFmtId="164" fontId="1" fillId="2" borderId="0" xfId="1" applyNumberFormat="1" applyAlignment="1">
      <alignment horizontal="center"/>
    </xf>
    <xf numFmtId="0" fontId="0" fillId="0" borderId="0" xfId="0" applyBorder="1"/>
    <xf numFmtId="0" fontId="4" fillId="0" borderId="0" xfId="0" applyFont="1" applyBorder="1"/>
    <xf numFmtId="0" fontId="6" fillId="0" borderId="0" xfId="0" applyFont="1" applyBorder="1"/>
    <xf numFmtId="0" fontId="9" fillId="0" borderId="0" xfId="0" applyFont="1"/>
    <xf numFmtId="0" fontId="10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3" fillId="0" borderId="0" xfId="3" applyAlignment="1" applyProtection="1"/>
    <xf numFmtId="0" fontId="0" fillId="7" borderId="0" xfId="0" applyFill="1"/>
    <xf numFmtId="0" fontId="0" fillId="0" borderId="1" xfId="0" applyBorder="1"/>
    <xf numFmtId="166" fontId="0" fillId="0" borderId="0" xfId="4" applyNumberFormat="1" applyFont="1"/>
    <xf numFmtId="0" fontId="4" fillId="0" borderId="1" xfId="0" applyFont="1" applyBorder="1"/>
    <xf numFmtId="164" fontId="0" fillId="0" borderId="0" xfId="0" applyNumberFormat="1"/>
    <xf numFmtId="0" fontId="11" fillId="0" borderId="1" xfId="0" applyFont="1" applyBorder="1" applyAlignment="1">
      <alignment wrapText="1"/>
    </xf>
    <xf numFmtId="1" fontId="1" fillId="2" borderId="7" xfId="1" applyNumberFormat="1" applyBorder="1"/>
    <xf numFmtId="0" fontId="13" fillId="0" borderId="3" xfId="0" applyFont="1" applyBorder="1" applyAlignment="1">
      <alignment horizontal="right"/>
    </xf>
    <xf numFmtId="0" fontId="13" fillId="0" borderId="0" xfId="0" applyFont="1" applyBorder="1" applyAlignment="1">
      <alignment horizontal="right"/>
    </xf>
    <xf numFmtId="0" fontId="14" fillId="0" borderId="0" xfId="0" applyFont="1"/>
    <xf numFmtId="0" fontId="6" fillId="6" borderId="3" xfId="0" applyFont="1" applyFill="1" applyBorder="1"/>
    <xf numFmtId="0" fontId="6" fillId="6" borderId="0" xfId="0" applyFont="1" applyFill="1"/>
    <xf numFmtId="0" fontId="6" fillId="0" borderId="0" xfId="0" applyFont="1" applyBorder="1" applyAlignment="1">
      <alignment horizontal="right"/>
    </xf>
    <xf numFmtId="0" fontId="6" fillId="4" borderId="0" xfId="0" applyFont="1" applyFill="1"/>
    <xf numFmtId="0" fontId="4" fillId="4" borderId="0" xfId="0" applyFont="1" applyFill="1" applyBorder="1"/>
    <xf numFmtId="0" fontId="6" fillId="4" borderId="0" xfId="0" applyFont="1" applyFill="1" applyBorder="1"/>
    <xf numFmtId="0" fontId="0" fillId="4" borderId="0" xfId="0" applyFill="1"/>
    <xf numFmtId="0" fontId="5" fillId="4" borderId="0" xfId="0" applyFont="1" applyFill="1" applyAlignment="1">
      <alignment horizontal="left"/>
    </xf>
    <xf numFmtId="11" fontId="4" fillId="0" borderId="0" xfId="0" applyNumberFormat="1" applyFont="1"/>
    <xf numFmtId="0" fontId="4" fillId="0" borderId="1" xfId="0" applyFont="1" applyBorder="1" applyAlignment="1">
      <alignment horizontal="center" wrapText="1"/>
    </xf>
    <xf numFmtId="0" fontId="4" fillId="0" borderId="1" xfId="0" applyFont="1" applyFill="1" applyBorder="1" applyAlignment="1">
      <alignment wrapText="1"/>
    </xf>
    <xf numFmtId="1" fontId="1" fillId="2" borderId="0" xfId="1" applyNumberFormat="1" applyBorder="1"/>
    <xf numFmtId="1" fontId="4" fillId="0" borderId="3" xfId="0" applyNumberFormat="1" applyFont="1" applyBorder="1"/>
    <xf numFmtId="0" fontId="15" fillId="4" borderId="0" xfId="0" applyFont="1" applyFill="1" applyAlignment="1">
      <alignment horizontal="center" wrapText="1"/>
    </xf>
    <xf numFmtId="0" fontId="16" fillId="0" borderId="1" xfId="0" applyFont="1" applyBorder="1" applyAlignment="1">
      <alignment wrapText="1"/>
    </xf>
    <xf numFmtId="0" fontId="16" fillId="0" borderId="3" xfId="0" applyFont="1" applyBorder="1"/>
    <xf numFmtId="0" fontId="16" fillId="0" borderId="6" xfId="0" applyFont="1" applyBorder="1" applyAlignment="1">
      <alignment wrapText="1"/>
    </xf>
    <xf numFmtId="0" fontId="16" fillId="0" borderId="5" xfId="0" applyFont="1" applyBorder="1" applyAlignment="1">
      <alignment wrapText="1"/>
    </xf>
    <xf numFmtId="0" fontId="16" fillId="4" borderId="5" xfId="0" applyFont="1" applyFill="1" applyBorder="1" applyAlignment="1">
      <alignment horizontal="center" wrapText="1"/>
    </xf>
    <xf numFmtId="167" fontId="0" fillId="0" borderId="0" xfId="0" applyNumberFormat="1"/>
    <xf numFmtId="164" fontId="4" fillId="0" borderId="0" xfId="0" applyNumberFormat="1" applyFont="1"/>
    <xf numFmtId="0" fontId="17" fillId="0" borderId="3" xfId="0" applyFont="1" applyBorder="1"/>
    <xf numFmtId="167" fontId="6" fillId="0" borderId="0" xfId="0" applyNumberFormat="1" applyFont="1"/>
    <xf numFmtId="0" fontId="6" fillId="0" borderId="0" xfId="0" applyFont="1" applyAlignment="1">
      <alignment horizontal="center"/>
    </xf>
    <xf numFmtId="0" fontId="17" fillId="0" borderId="0" xfId="0" applyFont="1" applyBorder="1"/>
    <xf numFmtId="0" fontId="18" fillId="0" borderId="0" xfId="0" applyFont="1"/>
    <xf numFmtId="0" fontId="19" fillId="0" borderId="3" xfId="0" applyFont="1" applyBorder="1"/>
    <xf numFmtId="0" fontId="20" fillId="0" borderId="3" xfId="0" applyFont="1" applyFill="1" applyBorder="1"/>
    <xf numFmtId="0" fontId="21" fillId="0" borderId="0" xfId="0" applyFont="1"/>
    <xf numFmtId="0" fontId="4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26" fillId="0" borderId="0" xfId="0" applyFont="1"/>
    <xf numFmtId="0" fontId="0" fillId="10" borderId="0" xfId="0" applyFill="1"/>
    <xf numFmtId="0" fontId="0" fillId="11" borderId="7" xfId="0" applyFill="1" applyBorder="1"/>
    <xf numFmtId="0" fontId="27" fillId="0" borderId="0" xfId="0" applyFont="1" applyAlignment="1">
      <alignment horizontal="left"/>
    </xf>
    <xf numFmtId="0" fontId="0" fillId="11" borderId="0" xfId="0" applyFill="1"/>
    <xf numFmtId="0" fontId="0" fillId="12" borderId="0" xfId="0" applyFill="1"/>
    <xf numFmtId="0" fontId="27" fillId="0" borderId="0" xfId="0" applyFont="1" applyAlignment="1">
      <alignment horizontal="right"/>
    </xf>
    <xf numFmtId="0" fontId="0" fillId="12" borderId="1" xfId="0" applyFill="1" applyBorder="1"/>
    <xf numFmtId="0" fontId="26" fillId="0" borderId="1" xfId="0" applyFont="1" applyBorder="1"/>
    <xf numFmtId="0" fontId="28" fillId="4" borderId="0" xfId="0" applyFont="1" applyFill="1"/>
    <xf numFmtId="0" fontId="0" fillId="13" borderId="0" xfId="0" applyFill="1"/>
    <xf numFmtId="0" fontId="28" fillId="13" borderId="0" xfId="0" applyFont="1" applyFill="1"/>
    <xf numFmtId="0" fontId="24" fillId="12" borderId="8" xfId="6" applyFill="1"/>
    <xf numFmtId="0" fontId="28" fillId="7" borderId="0" xfId="0" applyFont="1" applyFill="1"/>
    <xf numFmtId="0" fontId="28" fillId="7" borderId="1" xfId="0" applyFont="1" applyFill="1" applyBorder="1"/>
    <xf numFmtId="0" fontId="0" fillId="7" borderId="1" xfId="0" applyFill="1" applyBorder="1"/>
    <xf numFmtId="0" fontId="28" fillId="14" borderId="0" xfId="0" applyFont="1" applyFill="1"/>
    <xf numFmtId="0" fontId="0" fillId="4" borderId="1" xfId="0" applyFill="1" applyBorder="1"/>
    <xf numFmtId="0" fontId="28" fillId="11" borderId="0" xfId="0" applyFont="1" applyFill="1"/>
    <xf numFmtId="0" fontId="28" fillId="11" borderId="1" xfId="0" applyFont="1" applyFill="1" applyBorder="1"/>
    <xf numFmtId="0" fontId="0" fillId="11" borderId="1" xfId="0" applyFill="1" applyBorder="1"/>
    <xf numFmtId="0" fontId="1" fillId="2" borderId="1" xfId="1" applyBorder="1"/>
    <xf numFmtId="0" fontId="0" fillId="10" borderId="1" xfId="0" applyFill="1" applyBorder="1"/>
    <xf numFmtId="0" fontId="26" fillId="12" borderId="0" xfId="0" applyFont="1" applyFill="1"/>
    <xf numFmtId="0" fontId="0" fillId="15" borderId="0" xfId="0" applyFill="1"/>
    <xf numFmtId="0" fontId="28" fillId="15" borderId="0" xfId="0" applyFont="1" applyFill="1"/>
    <xf numFmtId="0" fontId="28" fillId="15" borderId="1" xfId="0" applyFont="1" applyFill="1" applyBorder="1"/>
    <xf numFmtId="0" fontId="0" fillId="15" borderId="1" xfId="0" applyFill="1" applyBorder="1"/>
    <xf numFmtId="0" fontId="1" fillId="10" borderId="0" xfId="1" applyFill="1"/>
    <xf numFmtId="0" fontId="23" fillId="8" borderId="0" xfId="5"/>
    <xf numFmtId="0" fontId="29" fillId="16" borderId="0" xfId="0" applyFont="1" applyFill="1"/>
    <xf numFmtId="0" fontId="0" fillId="16" borderId="0" xfId="0" applyFill="1"/>
    <xf numFmtId="0" fontId="0" fillId="16" borderId="1" xfId="0" applyFill="1" applyBorder="1"/>
    <xf numFmtId="0" fontId="25" fillId="0" borderId="1" xfId="0" applyFont="1" applyBorder="1"/>
    <xf numFmtId="0" fontId="16" fillId="0" borderId="1" xfId="0" applyFont="1" applyBorder="1" applyAlignment="1">
      <alignment horizontal="center" vertical="center" wrapText="1"/>
    </xf>
    <xf numFmtId="2" fontId="30" fillId="0" borderId="0" xfId="0" applyNumberFormat="1" applyFont="1" applyAlignment="1">
      <alignment horizontal="center" vertical="center"/>
    </xf>
    <xf numFmtId="0" fontId="0" fillId="0" borderId="0" xfId="0" applyFont="1"/>
    <xf numFmtId="0" fontId="4" fillId="4" borderId="0" xfId="0" applyFont="1" applyFill="1"/>
    <xf numFmtId="0" fontId="6" fillId="0" borderId="1" xfId="0" applyFont="1" applyBorder="1"/>
  </cellXfs>
  <cellStyles count="7">
    <cellStyle name="Bad" xfId="2" builtinId="27"/>
    <cellStyle name="Calculation" xfId="6" builtinId="22"/>
    <cellStyle name="Comma" xfId="4" builtinId="3"/>
    <cellStyle name="Good" xfId="1" builtinId="26"/>
    <cellStyle name="Hyperlink" xfId="3" builtinId="8"/>
    <cellStyle name="Neutral" xfId="5" builtinId="28"/>
    <cellStyle name="Normal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83229094278435"/>
          <c:w val="0.89019685039370078"/>
          <c:h val="0.674365217898839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Sources!$F$34</c:f>
              <c:strCache>
                <c:ptCount val="1"/>
                <c:pt idx="0">
                  <c:v>est elevation km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Sources!$F$35:$F$63</c:f>
              <c:numCache>
                <c:formatCode>General</c:formatCode>
                <c:ptCount val="29"/>
                <c:pt idx="0">
                  <c:v>100</c:v>
                </c:pt>
                <c:pt idx="1">
                  <c:v>99.34</c:v>
                </c:pt>
                <c:pt idx="2">
                  <c:v>98.61</c:v>
                </c:pt>
                <c:pt idx="3">
                  <c:v>97.69</c:v>
                </c:pt>
                <c:pt idx="4">
                  <c:v>96.53</c:v>
                </c:pt>
                <c:pt idx="5">
                  <c:v>95.08</c:v>
                </c:pt>
                <c:pt idx="6">
                  <c:v>93.28</c:v>
                </c:pt>
                <c:pt idx="7">
                  <c:v>91.06</c:v>
                </c:pt>
                <c:pt idx="8">
                  <c:v>88.35</c:v>
                </c:pt>
                <c:pt idx="9">
                  <c:v>85.08</c:v>
                </c:pt>
                <c:pt idx="10">
                  <c:v>81.22</c:v>
                </c:pt>
                <c:pt idx="11">
                  <c:v>76.710000000000008</c:v>
                </c:pt>
                <c:pt idx="12">
                  <c:v>71.58</c:v>
                </c:pt>
                <c:pt idx="13">
                  <c:v>65.86</c:v>
                </c:pt>
                <c:pt idx="14">
                  <c:v>59.67</c:v>
                </c:pt>
                <c:pt idx="15">
                  <c:v>53.14</c:v>
                </c:pt>
                <c:pt idx="16">
                  <c:v>46.47</c:v>
                </c:pt>
                <c:pt idx="17">
                  <c:v>39.870000000000005</c:v>
                </c:pt>
                <c:pt idx="18">
                  <c:v>33.52000000000001</c:v>
                </c:pt>
                <c:pt idx="19">
                  <c:v>27.600000000000009</c:v>
                </c:pt>
                <c:pt idx="20">
                  <c:v>22.230000000000004</c:v>
                </c:pt>
                <c:pt idx="21">
                  <c:v>17.47</c:v>
                </c:pt>
                <c:pt idx="22">
                  <c:v>13.36</c:v>
                </c:pt>
                <c:pt idx="23">
                  <c:v>9.8700000000000045</c:v>
                </c:pt>
                <c:pt idx="24">
                  <c:v>6.9500000000000028</c:v>
                </c:pt>
                <c:pt idx="25">
                  <c:v>4.5400000000000063</c:v>
                </c:pt>
                <c:pt idx="26">
                  <c:v>2.5799999999999983</c:v>
                </c:pt>
                <c:pt idx="27">
                  <c:v>1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FF-4F3D-90FF-80FA52042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4897392"/>
        <c:axId val="494899312"/>
      </c:barChart>
      <c:catAx>
        <c:axId val="49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interface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99312"/>
        <c:crosses val="autoZero"/>
        <c:auto val="1"/>
        <c:lblAlgn val="ctr"/>
        <c:lblOffset val="100"/>
        <c:noMultiLvlLbl val="0"/>
      </c:catAx>
      <c:valAx>
        <c:axId val="49489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89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213359</xdr:colOff>
      <xdr:row>5</xdr:row>
      <xdr:rowOff>76200</xdr:rowOff>
    </xdr:from>
    <xdr:to>
      <xdr:col>22</xdr:col>
      <xdr:colOff>217169</xdr:colOff>
      <xdr:row>29</xdr:row>
      <xdr:rowOff>100965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36F5455-4BED-4C51-AD85-292710DEC1B2}"/>
            </a:ext>
          </a:extLst>
        </xdr:cNvPr>
        <xdr:cNvSpPr txBox="1"/>
      </xdr:nvSpPr>
      <xdr:spPr>
        <a:xfrm>
          <a:off x="10109834" y="981075"/>
          <a:ext cx="4880610" cy="43681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some extracts from UCAR vertical integration</a:t>
          </a:r>
          <a:r>
            <a:rPr lang="en-US" sz="1100" baseline="0"/>
            <a:t> discussion:</a:t>
          </a: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Vertical Integrals of Monthly Means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 define the vertical integral of a monthly mean field as a mass-weighted sum corresponding to   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 )dp/ g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  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 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 )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in the vertical integral is the monthly mean operator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and </a:t>
          </a:r>
          <a:r>
            <a:rPr lang="en-US" sz="1100" b="0" i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the monthly mean surface pressure. We note that monthly means are computed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before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any vertical integration is performed. Trenberth and others (2002) discuss differences that arise (up to order ±10 W m</a:t>
          </a:r>
          <a:r>
            <a:rPr lang="en-US" sz="1100" b="0" i="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-2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in the divergence of total energy () if the vertical integral is performed at 6-hourly resolution, then the monthly mean taken, in the ERA-15 eta () archive for January of 1989.In practice, the integral is obtained by computing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en-US" sz="1100" b="0" i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= </a:t>
          </a:r>
          <a:r>
            <a:rPr lang="en-US" sz="1100" b="0" i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at the model layer interfaces given by </a:t>
          </a:r>
          <a:r>
            <a:rPr lang="en-US" sz="1100" b="0" i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= 0.0000, 0.0066, 0.0139, 0.0231, 0.0347, 0.0492, 0.0672, 0.0894, 0.1165, 0.1492, 0.1878, 0.2329, 0.2842, 0.3414, 0.4033, 0.4686, 0.5353, 0.6013, 0.6648, 0.7240, 0.7777, 0.8253, 0.8664, 0.9013, 0.9305, 0.9546, 0.9742, 0.9900, and 1.0000, where  = 0.0000 is the top of the atmosphere, and  = 1.0000 is the surface of the Earth. (In the -coordinate such as for ERA-15,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en-US" sz="1100" b="0" i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=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en-US" sz="1100" b="0" i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+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en-US" sz="1100" b="0" i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 sz="1100" b="0" i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for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en-US" sz="1100" b="0" i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and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en-US" sz="1100" b="0" i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at model layer interfaces.) Then,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dp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for a given layer is computed as the difference between the pressure of the lower interface bounding the model layer, and the pressure of the upper interface bounding the model layer.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Since the units of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dp/g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Pa/(m s</a:t>
          </a:r>
          <a:r>
            <a:rPr lang="en-US" sz="1100" b="0" i="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-2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), reduce to kg m</a:t>
          </a:r>
          <a:r>
            <a:rPr lang="en-US" sz="1100" b="0" i="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-2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the term 'mass weighted' is used in association with the vertical integral. We also note that the 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flux quantities appearing in the following table are not mass-corrected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The mass correction and mass corrected fluxes are described in subsequent sections (see 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Mass Correction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and 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Mass Corrected Vertically Integrated Monthly Mean Fluxes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).</a:t>
          </a:r>
        </a:p>
        <a:p>
          <a:endParaRPr lang="en-US" sz="1100"/>
        </a:p>
      </xdr:txBody>
    </xdr:sp>
    <xdr:clientData/>
  </xdr:twoCellAnchor>
  <xdr:twoCellAnchor>
    <xdr:from>
      <xdr:col>0</xdr:col>
      <xdr:colOff>152402</xdr:colOff>
      <xdr:row>37</xdr:row>
      <xdr:rowOff>154305</xdr:rowOff>
    </xdr:from>
    <xdr:to>
      <xdr:col>2</xdr:col>
      <xdr:colOff>333375</xdr:colOff>
      <xdr:row>53</xdr:row>
      <xdr:rowOff>1905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E41067-6B07-44AC-B53D-C8F1C5D2B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www.cpc.ncep.noaa.gov/data/indices/cpac850" TargetMode="External"/><Relationship Id="rId1" Type="http://schemas.openxmlformats.org/officeDocument/2006/relationships/hyperlink" Target="http://www.cgd.ucar.edu/cas/catalog/newbudgets/index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AD63"/>
  <sheetViews>
    <sheetView workbookViewId="0">
      <selection activeCell="X18" sqref="X18"/>
    </sheetView>
  </sheetViews>
  <sheetFormatPr defaultRowHeight="14.4" x14ac:dyDescent="0.3"/>
  <cols>
    <col min="1" max="1" width="12.33203125" customWidth="1"/>
    <col min="2" max="2" width="12.5546875" customWidth="1"/>
    <col min="5" max="5" width="11.21875" bestFit="1" customWidth="1"/>
    <col min="7" max="7" width="13.6640625" customWidth="1"/>
    <col min="8" max="8" width="11" customWidth="1"/>
    <col min="9" max="9" width="12.109375" customWidth="1"/>
    <col min="10" max="10" width="9.33203125" customWidth="1"/>
  </cols>
  <sheetData>
    <row r="3" spans="1:13" x14ac:dyDescent="0.3">
      <c r="A3" t="s">
        <v>1</v>
      </c>
      <c r="L3" t="s">
        <v>91</v>
      </c>
    </row>
    <row r="4" spans="1:13" x14ac:dyDescent="0.3">
      <c r="A4" s="1" t="s">
        <v>0</v>
      </c>
      <c r="L4" s="40" t="s">
        <v>90</v>
      </c>
    </row>
    <row r="6" spans="1:13" x14ac:dyDescent="0.3">
      <c r="A6" t="s">
        <v>2</v>
      </c>
    </row>
    <row r="8" spans="1:13" x14ac:dyDescent="0.3">
      <c r="A8" t="s">
        <v>3</v>
      </c>
      <c r="L8">
        <v>1.03</v>
      </c>
    </row>
    <row r="9" spans="1:13" x14ac:dyDescent="0.3">
      <c r="L9">
        <v>100</v>
      </c>
    </row>
    <row r="10" spans="1:13" x14ac:dyDescent="0.3">
      <c r="L10">
        <v>100</v>
      </c>
    </row>
    <row r="11" spans="1:13" x14ac:dyDescent="0.3">
      <c r="A11" t="s">
        <v>4</v>
      </c>
      <c r="M11">
        <f>L8*L9*L10</f>
        <v>10300</v>
      </c>
    </row>
    <row r="13" spans="1:13" x14ac:dyDescent="0.3">
      <c r="A13" t="s">
        <v>5</v>
      </c>
    </row>
    <row r="16" spans="1:13" x14ac:dyDescent="0.3">
      <c r="A16" t="s">
        <v>6</v>
      </c>
    </row>
    <row r="18" spans="1:30" x14ac:dyDescent="0.3">
      <c r="A18" t="s">
        <v>7</v>
      </c>
    </row>
    <row r="21" spans="1:30" x14ac:dyDescent="0.3">
      <c r="A21" t="s">
        <v>290</v>
      </c>
    </row>
    <row r="30" spans="1:30" x14ac:dyDescent="0.3">
      <c r="B30" t="s">
        <v>298</v>
      </c>
    </row>
    <row r="31" spans="1:30" x14ac:dyDescent="0.3">
      <c r="B31" t="s">
        <v>291</v>
      </c>
    </row>
    <row r="32" spans="1:30" x14ac:dyDescent="0.3">
      <c r="B32" s="79">
        <v>0</v>
      </c>
      <c r="C32">
        <v>6.6E-3</v>
      </c>
      <c r="D32">
        <v>1.3899999999999999E-2</v>
      </c>
      <c r="E32">
        <v>2.3099999999999999E-2</v>
      </c>
      <c r="F32">
        <v>3.4700000000000002E-2</v>
      </c>
      <c r="G32">
        <v>4.9200000000000001E-2</v>
      </c>
      <c r="H32">
        <v>6.7199999999999996E-2</v>
      </c>
      <c r="I32">
        <v>8.9399999999999993E-2</v>
      </c>
      <c r="J32">
        <v>0.11650000000000001</v>
      </c>
      <c r="K32">
        <v>0.1492</v>
      </c>
      <c r="L32">
        <v>0.18779999999999999</v>
      </c>
      <c r="M32">
        <v>0.2329</v>
      </c>
      <c r="N32">
        <v>0.28420000000000001</v>
      </c>
      <c r="O32">
        <v>0.34139999999999998</v>
      </c>
      <c r="P32">
        <v>0.40329999999999999</v>
      </c>
      <c r="Q32">
        <v>0.46860000000000002</v>
      </c>
      <c r="R32">
        <v>0.5353</v>
      </c>
      <c r="S32">
        <v>0.60129999999999995</v>
      </c>
      <c r="T32">
        <v>0.66479999999999995</v>
      </c>
      <c r="U32">
        <v>0.72399999999999998</v>
      </c>
      <c r="V32">
        <v>0.77769999999999995</v>
      </c>
      <c r="W32">
        <v>0.82530000000000003</v>
      </c>
      <c r="X32">
        <v>0.86639999999999995</v>
      </c>
      <c r="Y32">
        <v>0.90129999999999999</v>
      </c>
      <c r="Z32">
        <v>0.93049999999999999</v>
      </c>
      <c r="AA32">
        <v>0.9546</v>
      </c>
      <c r="AB32">
        <v>0.97419999999999995</v>
      </c>
      <c r="AC32">
        <v>0.99</v>
      </c>
      <c r="AD32">
        <v>1</v>
      </c>
    </row>
    <row r="34" spans="1:10" ht="41.4" x14ac:dyDescent="0.3">
      <c r="A34" s="80" t="s">
        <v>293</v>
      </c>
      <c r="B34" s="80" t="s">
        <v>294</v>
      </c>
      <c r="C34" s="80" t="s">
        <v>292</v>
      </c>
      <c r="D34" s="80" t="s">
        <v>297</v>
      </c>
      <c r="E34" s="80" t="s">
        <v>295</v>
      </c>
      <c r="F34" s="80" t="s">
        <v>296</v>
      </c>
      <c r="G34" s="82" t="s">
        <v>302</v>
      </c>
      <c r="H34" s="83" t="s">
        <v>304</v>
      </c>
      <c r="I34" s="83" t="s">
        <v>305</v>
      </c>
      <c r="J34" s="83"/>
    </row>
    <row r="35" spans="1:10" x14ac:dyDescent="0.3">
      <c r="A35">
        <v>1</v>
      </c>
      <c r="C35" s="79">
        <v>0</v>
      </c>
      <c r="D35">
        <v>0</v>
      </c>
      <c r="E35" s="43">
        <f>F35*1000</f>
        <v>100000</v>
      </c>
      <c r="F35">
        <v>100</v>
      </c>
      <c r="G35" s="81"/>
    </row>
    <row r="36" spans="1:10" x14ac:dyDescent="0.3">
      <c r="A36">
        <f>A35+1</f>
        <v>2</v>
      </c>
      <c r="B36">
        <v>1</v>
      </c>
      <c r="C36">
        <v>6.6E-3</v>
      </c>
      <c r="F36">
        <f t="shared" ref="F36:F61" si="0">$F$35-(C36*$F$35)</f>
        <v>99.34</v>
      </c>
      <c r="G36" s="81"/>
    </row>
    <row r="37" spans="1:10" x14ac:dyDescent="0.3">
      <c r="A37">
        <f t="shared" ref="A37:A63" si="1">A36+1</f>
        <v>3</v>
      </c>
      <c r="B37">
        <f>B36+1</f>
        <v>2</v>
      </c>
      <c r="C37">
        <v>1.3899999999999999E-2</v>
      </c>
      <c r="F37">
        <f t="shared" si="0"/>
        <v>98.61</v>
      </c>
      <c r="G37" s="81"/>
    </row>
    <row r="38" spans="1:10" x14ac:dyDescent="0.3">
      <c r="A38">
        <f t="shared" si="1"/>
        <v>4</v>
      </c>
      <c r="B38">
        <f t="shared" ref="B38:B63" si="2">B37+1</f>
        <v>3</v>
      </c>
      <c r="C38">
        <v>2.3099999999999999E-2</v>
      </c>
      <c r="F38">
        <f t="shared" si="0"/>
        <v>97.69</v>
      </c>
      <c r="G38" s="81"/>
    </row>
    <row r="39" spans="1:10" x14ac:dyDescent="0.3">
      <c r="A39">
        <f t="shared" si="1"/>
        <v>5</v>
      </c>
      <c r="B39">
        <f t="shared" si="2"/>
        <v>4</v>
      </c>
      <c r="C39">
        <v>3.4700000000000002E-2</v>
      </c>
      <c r="F39">
        <f t="shared" si="0"/>
        <v>96.53</v>
      </c>
      <c r="G39" s="81"/>
    </row>
    <row r="40" spans="1:10" x14ac:dyDescent="0.3">
      <c r="A40">
        <f t="shared" si="1"/>
        <v>6</v>
      </c>
      <c r="B40">
        <f t="shared" si="2"/>
        <v>5</v>
      </c>
      <c r="C40">
        <v>4.9200000000000001E-2</v>
      </c>
      <c r="F40">
        <f t="shared" si="0"/>
        <v>95.08</v>
      </c>
      <c r="G40" s="81"/>
    </row>
    <row r="41" spans="1:10" x14ac:dyDescent="0.3">
      <c r="A41">
        <f t="shared" si="1"/>
        <v>7</v>
      </c>
      <c r="B41">
        <f t="shared" si="2"/>
        <v>6</v>
      </c>
      <c r="C41">
        <v>6.7199999999999996E-2</v>
      </c>
      <c r="F41">
        <f t="shared" si="0"/>
        <v>93.28</v>
      </c>
      <c r="G41" s="81"/>
    </row>
    <row r="42" spans="1:10" x14ac:dyDescent="0.3">
      <c r="A42">
        <f t="shared" si="1"/>
        <v>8</v>
      </c>
      <c r="B42">
        <f t="shared" si="2"/>
        <v>7</v>
      </c>
      <c r="C42">
        <v>8.9399999999999993E-2</v>
      </c>
      <c r="F42">
        <f t="shared" si="0"/>
        <v>91.06</v>
      </c>
      <c r="G42" s="81"/>
    </row>
    <row r="43" spans="1:10" x14ac:dyDescent="0.3">
      <c r="A43">
        <f t="shared" si="1"/>
        <v>9</v>
      </c>
      <c r="B43">
        <f t="shared" si="2"/>
        <v>8</v>
      </c>
      <c r="C43">
        <v>0.11650000000000001</v>
      </c>
      <c r="F43">
        <f t="shared" si="0"/>
        <v>88.35</v>
      </c>
      <c r="G43" s="81"/>
    </row>
    <row r="44" spans="1:10" x14ac:dyDescent="0.3">
      <c r="A44">
        <f t="shared" si="1"/>
        <v>10</v>
      </c>
      <c r="B44">
        <f t="shared" si="2"/>
        <v>9</v>
      </c>
      <c r="C44">
        <v>0.1492</v>
      </c>
      <c r="F44">
        <f t="shared" si="0"/>
        <v>85.08</v>
      </c>
      <c r="G44" s="81"/>
    </row>
    <row r="45" spans="1:10" x14ac:dyDescent="0.3">
      <c r="A45">
        <f t="shared" si="1"/>
        <v>11</v>
      </c>
      <c r="B45">
        <f t="shared" si="2"/>
        <v>10</v>
      </c>
      <c r="C45">
        <v>0.18779999999999999</v>
      </c>
      <c r="F45">
        <f t="shared" si="0"/>
        <v>81.22</v>
      </c>
      <c r="G45" s="81"/>
    </row>
    <row r="46" spans="1:10" x14ac:dyDescent="0.3">
      <c r="A46">
        <f t="shared" si="1"/>
        <v>12</v>
      </c>
      <c r="B46">
        <f t="shared" si="2"/>
        <v>11</v>
      </c>
      <c r="C46">
        <v>0.2329</v>
      </c>
      <c r="F46">
        <f t="shared" si="0"/>
        <v>76.710000000000008</v>
      </c>
      <c r="G46" s="81"/>
    </row>
    <row r="47" spans="1:10" x14ac:dyDescent="0.3">
      <c r="A47">
        <f t="shared" si="1"/>
        <v>13</v>
      </c>
      <c r="B47">
        <f t="shared" si="2"/>
        <v>12</v>
      </c>
      <c r="C47">
        <v>0.28420000000000001</v>
      </c>
      <c r="F47">
        <f t="shared" si="0"/>
        <v>71.58</v>
      </c>
      <c r="G47" s="81"/>
    </row>
    <row r="48" spans="1:10" x14ac:dyDescent="0.3">
      <c r="A48">
        <f t="shared" si="1"/>
        <v>14</v>
      </c>
      <c r="B48">
        <f t="shared" si="2"/>
        <v>13</v>
      </c>
      <c r="C48">
        <v>0.34139999999999998</v>
      </c>
      <c r="F48">
        <f t="shared" si="0"/>
        <v>65.86</v>
      </c>
      <c r="G48" s="81"/>
    </row>
    <row r="49" spans="1:8" x14ac:dyDescent="0.3">
      <c r="A49">
        <f t="shared" si="1"/>
        <v>15</v>
      </c>
      <c r="B49">
        <f t="shared" si="2"/>
        <v>14</v>
      </c>
      <c r="C49">
        <v>0.40329999999999999</v>
      </c>
      <c r="F49">
        <f t="shared" si="0"/>
        <v>59.67</v>
      </c>
      <c r="G49" s="81"/>
    </row>
    <row r="50" spans="1:8" x14ac:dyDescent="0.3">
      <c r="A50">
        <f t="shared" si="1"/>
        <v>16</v>
      </c>
      <c r="B50">
        <f t="shared" si="2"/>
        <v>15</v>
      </c>
      <c r="C50">
        <v>0.46860000000000002</v>
      </c>
      <c r="F50">
        <f t="shared" si="0"/>
        <v>53.14</v>
      </c>
      <c r="G50" s="81" t="s">
        <v>303</v>
      </c>
      <c r="H50">
        <v>-51</v>
      </c>
    </row>
    <row r="51" spans="1:8" x14ac:dyDescent="0.3">
      <c r="A51">
        <f t="shared" si="1"/>
        <v>17</v>
      </c>
      <c r="B51">
        <f t="shared" si="2"/>
        <v>16</v>
      </c>
      <c r="C51">
        <v>0.5353</v>
      </c>
      <c r="F51">
        <f t="shared" si="0"/>
        <v>46.47</v>
      </c>
      <c r="G51" s="81"/>
    </row>
    <row r="52" spans="1:8" x14ac:dyDescent="0.3">
      <c r="A52">
        <f t="shared" si="1"/>
        <v>18</v>
      </c>
      <c r="B52">
        <f t="shared" si="2"/>
        <v>17</v>
      </c>
      <c r="C52">
        <v>0.60129999999999995</v>
      </c>
      <c r="F52">
        <f t="shared" si="0"/>
        <v>39.870000000000005</v>
      </c>
      <c r="G52" s="81"/>
    </row>
    <row r="53" spans="1:8" x14ac:dyDescent="0.3">
      <c r="A53">
        <f t="shared" si="1"/>
        <v>19</v>
      </c>
      <c r="B53">
        <f t="shared" si="2"/>
        <v>18</v>
      </c>
      <c r="C53">
        <v>0.66479999999999995</v>
      </c>
      <c r="F53">
        <f t="shared" si="0"/>
        <v>33.52000000000001</v>
      </c>
      <c r="G53" s="81"/>
    </row>
    <row r="54" spans="1:8" x14ac:dyDescent="0.3">
      <c r="A54">
        <f t="shared" si="1"/>
        <v>20</v>
      </c>
      <c r="B54">
        <f t="shared" si="2"/>
        <v>19</v>
      </c>
      <c r="C54">
        <v>0.72399999999999998</v>
      </c>
      <c r="F54">
        <f t="shared" si="0"/>
        <v>27.600000000000009</v>
      </c>
      <c r="G54" s="81"/>
    </row>
    <row r="55" spans="1:8" x14ac:dyDescent="0.3">
      <c r="A55">
        <f t="shared" si="1"/>
        <v>21</v>
      </c>
      <c r="B55">
        <f t="shared" si="2"/>
        <v>20</v>
      </c>
      <c r="C55">
        <v>0.77769999999999995</v>
      </c>
      <c r="F55">
        <f t="shared" si="0"/>
        <v>22.230000000000004</v>
      </c>
      <c r="G55" s="81"/>
    </row>
    <row r="56" spans="1:8" x14ac:dyDescent="0.3">
      <c r="A56">
        <f t="shared" si="1"/>
        <v>22</v>
      </c>
      <c r="B56">
        <f t="shared" si="2"/>
        <v>21</v>
      </c>
      <c r="C56">
        <v>0.82530000000000003</v>
      </c>
      <c r="F56">
        <f t="shared" si="0"/>
        <v>17.47</v>
      </c>
      <c r="G56" s="81"/>
    </row>
    <row r="57" spans="1:8" x14ac:dyDescent="0.3">
      <c r="A57">
        <f t="shared" si="1"/>
        <v>23</v>
      </c>
      <c r="B57">
        <f t="shared" si="2"/>
        <v>22</v>
      </c>
      <c r="C57">
        <v>0.86639999999999995</v>
      </c>
      <c r="F57">
        <f t="shared" si="0"/>
        <v>13.36</v>
      </c>
      <c r="G57" s="81" t="s">
        <v>301</v>
      </c>
    </row>
    <row r="58" spans="1:8" x14ac:dyDescent="0.3">
      <c r="A58">
        <f t="shared" si="1"/>
        <v>24</v>
      </c>
      <c r="B58">
        <f t="shared" si="2"/>
        <v>23</v>
      </c>
      <c r="C58">
        <v>0.90129999999999999</v>
      </c>
      <c r="F58">
        <f t="shared" si="0"/>
        <v>9.8700000000000045</v>
      </c>
      <c r="G58" s="81"/>
    </row>
    <row r="59" spans="1:8" x14ac:dyDescent="0.3">
      <c r="A59">
        <f t="shared" si="1"/>
        <v>25</v>
      </c>
      <c r="B59">
        <f t="shared" si="2"/>
        <v>24</v>
      </c>
      <c r="C59">
        <v>0.93049999999999999</v>
      </c>
      <c r="F59">
        <f t="shared" si="0"/>
        <v>6.9500000000000028</v>
      </c>
      <c r="G59" s="81"/>
    </row>
    <row r="60" spans="1:8" x14ac:dyDescent="0.3">
      <c r="A60">
        <f t="shared" si="1"/>
        <v>26</v>
      </c>
      <c r="B60">
        <f t="shared" si="2"/>
        <v>25</v>
      </c>
      <c r="C60">
        <v>0.9546</v>
      </c>
      <c r="F60">
        <f t="shared" si="0"/>
        <v>4.5400000000000063</v>
      </c>
      <c r="G60" s="81"/>
    </row>
    <row r="61" spans="1:8" x14ac:dyDescent="0.3">
      <c r="A61">
        <f t="shared" si="1"/>
        <v>27</v>
      </c>
      <c r="B61">
        <f t="shared" si="2"/>
        <v>26</v>
      </c>
      <c r="C61">
        <v>0.97419999999999995</v>
      </c>
      <c r="F61">
        <f t="shared" si="0"/>
        <v>2.5799999999999983</v>
      </c>
      <c r="G61" s="81" t="s">
        <v>300</v>
      </c>
    </row>
    <row r="62" spans="1:8" x14ac:dyDescent="0.3">
      <c r="A62">
        <f t="shared" si="1"/>
        <v>28</v>
      </c>
      <c r="B62">
        <f t="shared" si="2"/>
        <v>27</v>
      </c>
      <c r="C62">
        <v>0.99</v>
      </c>
      <c r="F62">
        <f>$F$35-(C62*$F$35)</f>
        <v>1</v>
      </c>
      <c r="G62" s="81"/>
    </row>
    <row r="63" spans="1:8" x14ac:dyDescent="0.3">
      <c r="A63">
        <f t="shared" si="1"/>
        <v>29</v>
      </c>
      <c r="B63">
        <f t="shared" si="2"/>
        <v>28</v>
      </c>
      <c r="C63">
        <v>1</v>
      </c>
      <c r="F63">
        <v>0</v>
      </c>
      <c r="G63" s="81" t="s">
        <v>299</v>
      </c>
    </row>
  </sheetData>
  <hyperlinks>
    <hyperlink ref="A4" r:id="rId1" location="ERBEFs " xr:uid="{00000000-0004-0000-0000-000000000000}"/>
    <hyperlink ref="L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I384"/>
  <sheetViews>
    <sheetView zoomScale="90" zoomScaleNormal="90" workbookViewId="0">
      <pane xSplit="1" topLeftCell="B1" activePane="topRight" state="frozen"/>
      <selection pane="topRight" activeCell="A10" sqref="A10"/>
    </sheetView>
  </sheetViews>
  <sheetFormatPr defaultRowHeight="14.4" x14ac:dyDescent="0.3"/>
  <cols>
    <col min="1" max="1" width="11.88671875" customWidth="1"/>
    <col min="2" max="2" width="10.88671875" style="120" customWidth="1"/>
    <col min="3" max="3" width="8.88671875" style="120"/>
    <col min="5" max="5" width="11.109375" customWidth="1"/>
    <col min="6" max="6" width="12.6640625" customWidth="1"/>
    <col min="8" max="8" width="10" bestFit="1" customWidth="1"/>
    <col min="16" max="16" width="12.6640625" customWidth="1"/>
    <col min="17" max="17" width="4" customWidth="1"/>
    <col min="18" max="18" width="9.88671875" bestFit="1" customWidth="1"/>
    <col min="19" max="19" width="12.109375" customWidth="1"/>
    <col min="20" max="20" width="14.5546875" customWidth="1"/>
    <col min="21" max="21" width="15.6640625" customWidth="1"/>
    <col min="23" max="23" width="10.6640625" customWidth="1"/>
  </cols>
  <sheetData>
    <row r="1" spans="1:61" x14ac:dyDescent="0.3">
      <c r="A1" s="2" t="s">
        <v>8</v>
      </c>
      <c r="B1" s="2"/>
      <c r="C1" s="2"/>
      <c r="D1" s="2"/>
      <c r="E1" s="2"/>
      <c r="F1" s="2"/>
      <c r="G1" s="2"/>
      <c r="H1" s="2"/>
      <c r="L1" s="3" t="s">
        <v>9</v>
      </c>
      <c r="M1">
        <v>110592</v>
      </c>
      <c r="N1" s="4"/>
      <c r="O1" s="4"/>
      <c r="P1" s="4"/>
      <c r="Q1" s="5"/>
      <c r="T1" t="s">
        <v>199</v>
      </c>
      <c r="V1" t="s">
        <v>233</v>
      </c>
      <c r="W1" t="s">
        <v>234</v>
      </c>
      <c r="X1" t="s">
        <v>230</v>
      </c>
      <c r="Y1" t="s">
        <v>231</v>
      </c>
      <c r="Z1" t="s">
        <v>232</v>
      </c>
      <c r="BI1">
        <v>0</v>
      </c>
    </row>
    <row r="2" spans="1:61" x14ac:dyDescent="0.3">
      <c r="A2" s="2" t="s">
        <v>10</v>
      </c>
      <c r="B2" s="2"/>
      <c r="C2" s="2"/>
      <c r="D2" s="2"/>
      <c r="E2" s="2"/>
      <c r="F2" s="2"/>
      <c r="G2" s="2"/>
      <c r="H2" s="2"/>
      <c r="L2" s="2" t="s">
        <v>11</v>
      </c>
      <c r="M2">
        <v>432</v>
      </c>
      <c r="N2" s="2"/>
      <c r="O2" s="6" t="s">
        <v>12</v>
      </c>
      <c r="P2" s="2"/>
      <c r="S2" t="s">
        <v>202</v>
      </c>
      <c r="T2" s="21">
        <v>360</v>
      </c>
      <c r="V2">
        <v>40070</v>
      </c>
      <c r="W2">
        <f>V2/T2</f>
        <v>111.30555555555556</v>
      </c>
    </row>
    <row r="3" spans="1:61" x14ac:dyDescent="0.3">
      <c r="A3" s="2" t="s">
        <v>13</v>
      </c>
      <c r="B3" s="2"/>
      <c r="C3" s="2"/>
      <c r="D3" s="2"/>
      <c r="E3" s="2"/>
      <c r="F3" s="2"/>
      <c r="L3" s="3" t="s">
        <v>14</v>
      </c>
      <c r="M3" s="2">
        <v>256</v>
      </c>
      <c r="N3" s="2"/>
      <c r="O3" s="6">
        <f>M3*M2</f>
        <v>110592</v>
      </c>
      <c r="P3" s="2"/>
      <c r="S3" t="s">
        <v>203</v>
      </c>
      <c r="T3" s="21">
        <v>180</v>
      </c>
      <c r="V3">
        <v>40008</v>
      </c>
      <c r="W3">
        <f>V3/T3</f>
        <v>222.26666666666668</v>
      </c>
    </row>
    <row r="4" spans="1:61" x14ac:dyDescent="0.3">
      <c r="A4" s="2" t="s">
        <v>263</v>
      </c>
      <c r="B4" s="2"/>
      <c r="C4" s="2"/>
      <c r="D4" s="2"/>
      <c r="E4" s="2"/>
      <c r="F4" s="2"/>
      <c r="G4" s="2"/>
      <c r="H4" s="2"/>
      <c r="L4" s="3" t="s">
        <v>15</v>
      </c>
      <c r="M4" s="2"/>
      <c r="N4" s="2"/>
      <c r="O4" s="2"/>
      <c r="P4" s="2"/>
    </row>
    <row r="5" spans="1:61" x14ac:dyDescent="0.3">
      <c r="A5" s="2" t="s">
        <v>264</v>
      </c>
      <c r="B5" s="2"/>
      <c r="C5" s="2"/>
      <c r="D5" s="2"/>
      <c r="E5" s="2" t="s">
        <v>265</v>
      </c>
      <c r="F5" s="2"/>
      <c r="G5" s="2"/>
      <c r="H5" s="2"/>
      <c r="L5" s="3" t="s">
        <v>16</v>
      </c>
      <c r="M5" s="2">
        <v>256</v>
      </c>
      <c r="N5" s="2"/>
      <c r="O5" s="2"/>
      <c r="P5" s="2"/>
    </row>
    <row r="6" spans="1:61" x14ac:dyDescent="0.3">
      <c r="A6" s="2"/>
      <c r="B6" s="2"/>
      <c r="C6" s="2"/>
      <c r="D6" s="2"/>
      <c r="E6" s="2"/>
      <c r="F6" s="2"/>
      <c r="G6" s="2"/>
      <c r="H6" s="2"/>
      <c r="L6" s="3" t="s">
        <v>14</v>
      </c>
      <c r="M6" s="2">
        <v>512</v>
      </c>
      <c r="N6" s="2"/>
      <c r="O6" s="2"/>
      <c r="P6" s="2"/>
      <c r="R6">
        <v>242.5</v>
      </c>
      <c r="S6">
        <f>R6*$C$93</f>
        <v>170.5078125</v>
      </c>
      <c r="T6">
        <f>S6-90</f>
        <v>80.5078125</v>
      </c>
    </row>
    <row r="7" spans="1:61" x14ac:dyDescent="0.3">
      <c r="A7" s="44" t="s">
        <v>342</v>
      </c>
      <c r="B7" s="44"/>
      <c r="C7" s="44" t="s">
        <v>343</v>
      </c>
      <c r="D7" s="44"/>
      <c r="E7" s="122" t="s">
        <v>344</v>
      </c>
      <c r="F7" s="44"/>
      <c r="G7" s="2"/>
      <c r="H7" s="2"/>
      <c r="K7" s="3" t="s">
        <v>275</v>
      </c>
      <c r="L7" s="3" t="s">
        <v>272</v>
      </c>
      <c r="M7" s="74" t="s">
        <v>273</v>
      </c>
      <c r="N7" s="74" t="s">
        <v>274</v>
      </c>
      <c r="O7" s="2"/>
      <c r="P7" s="2"/>
      <c r="R7">
        <v>256</v>
      </c>
      <c r="S7">
        <f>R7*$C$93</f>
        <v>180</v>
      </c>
      <c r="T7">
        <f>S7-90</f>
        <v>90</v>
      </c>
    </row>
    <row r="8" spans="1:61" x14ac:dyDescent="0.3">
      <c r="A8" s="2"/>
      <c r="B8" s="2"/>
      <c r="C8" s="2"/>
      <c r="D8" s="2"/>
      <c r="E8" s="2" t="s">
        <v>345</v>
      </c>
      <c r="F8" s="2"/>
      <c r="G8" s="2"/>
      <c r="H8" s="2"/>
      <c r="K8" s="3"/>
      <c r="L8" s="3"/>
      <c r="M8" s="74"/>
      <c r="N8" s="74"/>
      <c r="O8" s="2"/>
      <c r="P8" s="2"/>
    </row>
    <row r="9" spans="1:61" x14ac:dyDescent="0.3">
      <c r="A9" s="2" t="s">
        <v>347</v>
      </c>
      <c r="B9" s="2"/>
      <c r="C9" s="2"/>
      <c r="D9" s="2"/>
      <c r="E9" s="2"/>
      <c r="F9" s="2"/>
      <c r="G9" s="2"/>
      <c r="H9" s="2"/>
      <c r="K9" s="3"/>
      <c r="L9" s="3"/>
      <c r="M9" s="74"/>
      <c r="N9" s="74"/>
      <c r="O9" s="2"/>
      <c r="P9" s="2"/>
    </row>
    <row r="10" spans="1:61" x14ac:dyDescent="0.3">
      <c r="A10" s="2"/>
      <c r="B10" s="2"/>
      <c r="C10" s="2"/>
      <c r="D10" s="2"/>
      <c r="E10" s="2"/>
      <c r="F10" s="2"/>
      <c r="G10" s="2"/>
      <c r="H10" s="2"/>
      <c r="K10" s="3"/>
      <c r="L10" s="3"/>
      <c r="M10" s="74"/>
      <c r="N10" s="74"/>
      <c r="O10" s="2"/>
      <c r="P10" s="2"/>
    </row>
    <row r="11" spans="1:61" ht="24.6" x14ac:dyDescent="0.3">
      <c r="A11" s="64" t="s">
        <v>276</v>
      </c>
      <c r="B11" s="65" t="s">
        <v>18</v>
      </c>
      <c r="C11" s="65" t="s">
        <v>19</v>
      </c>
      <c r="D11" s="66"/>
      <c r="E11" s="67" t="s">
        <v>238</v>
      </c>
      <c r="F11" s="68"/>
      <c r="G11" s="68"/>
      <c r="H11" s="68" t="s">
        <v>239</v>
      </c>
      <c r="I11" s="67" t="s">
        <v>24</v>
      </c>
      <c r="J11" s="68" t="s">
        <v>25</v>
      </c>
      <c r="K11" s="68" t="s">
        <v>26</v>
      </c>
      <c r="L11" s="68" t="s">
        <v>27</v>
      </c>
      <c r="M11" s="69" t="s">
        <v>259</v>
      </c>
      <c r="N11" s="69" t="s">
        <v>258</v>
      </c>
      <c r="O11" s="2"/>
      <c r="P11" s="2"/>
    </row>
    <row r="12" spans="1:61" x14ac:dyDescent="0.3">
      <c r="B12" s="2">
        <v>0.703125</v>
      </c>
      <c r="C12" s="2">
        <v>0.703125</v>
      </c>
      <c r="D12" s="2"/>
      <c r="E12" s="11">
        <v>15.3</v>
      </c>
      <c r="F12" s="2"/>
      <c r="G12" s="2"/>
      <c r="H12" s="73">
        <v>-4.3</v>
      </c>
      <c r="I12" s="12">
        <v>89.5</v>
      </c>
      <c r="J12" s="2">
        <v>-89.5</v>
      </c>
      <c r="K12" s="2">
        <v>0</v>
      </c>
      <c r="L12" s="2">
        <v>359</v>
      </c>
      <c r="M12" s="32">
        <f>E12/B12</f>
        <v>21.76</v>
      </c>
      <c r="N12" s="33">
        <f>$M$5-(I12-H12)/C12</f>
        <v>122.59555555555556</v>
      </c>
      <c r="O12" s="2"/>
      <c r="P12" s="2"/>
    </row>
    <row r="13" spans="1:61" x14ac:dyDescent="0.3">
      <c r="B13" s="2"/>
      <c r="C13" s="2"/>
      <c r="D13" s="2"/>
      <c r="E13" s="72" t="s">
        <v>50</v>
      </c>
      <c r="F13" s="13"/>
      <c r="G13" s="11"/>
      <c r="H13" s="11"/>
      <c r="L13" s="3"/>
      <c r="M13" s="2"/>
      <c r="N13" s="2"/>
      <c r="O13" s="2"/>
      <c r="P13" s="2"/>
    </row>
    <row r="14" spans="1:61" x14ac:dyDescent="0.3">
      <c r="B14" s="2"/>
      <c r="C14" s="2"/>
      <c r="D14" s="2"/>
      <c r="E14" s="72">
        <f>(180-ABS(E12))+180</f>
        <v>344.7</v>
      </c>
      <c r="F14" s="72" t="s">
        <v>93</v>
      </c>
      <c r="G14" s="11"/>
      <c r="H14" s="11"/>
      <c r="L14" s="3"/>
      <c r="M14" s="2"/>
      <c r="N14" s="2"/>
      <c r="O14" s="2"/>
      <c r="P14" s="2"/>
    </row>
    <row r="15" spans="1:61" ht="24.6" x14ac:dyDescent="0.3">
      <c r="A15" s="64" t="s">
        <v>277</v>
      </c>
      <c r="B15" s="65" t="s">
        <v>18</v>
      </c>
      <c r="C15" s="65" t="s">
        <v>19</v>
      </c>
      <c r="D15" s="66"/>
      <c r="E15" s="67" t="s">
        <v>238</v>
      </c>
      <c r="F15" s="68"/>
      <c r="G15" s="68"/>
      <c r="H15" s="68" t="s">
        <v>239</v>
      </c>
      <c r="I15" s="67" t="s">
        <v>24</v>
      </c>
      <c r="J15" s="68" t="s">
        <v>25</v>
      </c>
      <c r="K15" s="68" t="s">
        <v>26</v>
      </c>
      <c r="L15" s="68" t="s">
        <v>27</v>
      </c>
      <c r="M15" s="69" t="s">
        <v>259</v>
      </c>
      <c r="N15" s="69" t="s">
        <v>258</v>
      </c>
      <c r="O15" s="2"/>
      <c r="P15" s="2"/>
    </row>
    <row r="16" spans="1:61" x14ac:dyDescent="0.3">
      <c r="B16" s="2">
        <v>0.703125</v>
      </c>
      <c r="C16" s="2">
        <v>0.703125</v>
      </c>
      <c r="D16" s="2"/>
      <c r="E16" s="11">
        <v>21.8</v>
      </c>
      <c r="F16" s="2"/>
      <c r="G16" s="2"/>
      <c r="H16" s="73">
        <v>-18</v>
      </c>
      <c r="I16" s="12">
        <v>89.5</v>
      </c>
      <c r="J16" s="2">
        <v>-89.5</v>
      </c>
      <c r="K16" s="2">
        <v>0</v>
      </c>
      <c r="L16" s="2">
        <v>359</v>
      </c>
      <c r="M16" s="32">
        <f>E16/B16</f>
        <v>31.004444444444445</v>
      </c>
      <c r="N16" s="33">
        <f>$M$5-(I16-H16)/C16</f>
        <v>103.11111111111111</v>
      </c>
      <c r="O16" s="2"/>
      <c r="P16" s="2"/>
    </row>
    <row r="17" spans="1:16" x14ac:dyDescent="0.3">
      <c r="B17" s="2"/>
      <c r="C17" s="2"/>
      <c r="D17" s="2"/>
      <c r="E17" s="72" t="s">
        <v>50</v>
      </c>
      <c r="F17" s="13"/>
      <c r="G17" s="11"/>
      <c r="H17" s="11"/>
      <c r="L17" s="3"/>
      <c r="M17" s="2"/>
      <c r="N17" s="2"/>
      <c r="O17" s="2"/>
      <c r="P17" s="2"/>
    </row>
    <row r="18" spans="1:16" x14ac:dyDescent="0.3">
      <c r="B18" s="2"/>
      <c r="C18" s="2"/>
      <c r="D18" s="2"/>
      <c r="E18" s="72">
        <f>(180-ABS(E16))+180</f>
        <v>338.2</v>
      </c>
      <c r="F18" s="72" t="s">
        <v>93</v>
      </c>
      <c r="G18" s="11"/>
      <c r="H18" s="11"/>
      <c r="L18" s="3"/>
      <c r="M18" s="2"/>
      <c r="N18" s="2"/>
      <c r="O18" s="2"/>
      <c r="P18" s="2"/>
    </row>
    <row r="19" spans="1:16" ht="24.6" x14ac:dyDescent="0.3">
      <c r="A19" s="64" t="s">
        <v>278</v>
      </c>
      <c r="B19" s="65" t="s">
        <v>18</v>
      </c>
      <c r="C19" s="65" t="s">
        <v>19</v>
      </c>
      <c r="D19" s="66"/>
      <c r="E19" s="67" t="s">
        <v>238</v>
      </c>
      <c r="F19" s="68"/>
      <c r="G19" s="68"/>
      <c r="H19" s="68" t="s">
        <v>239</v>
      </c>
      <c r="I19" s="67" t="s">
        <v>24</v>
      </c>
      <c r="J19" s="68" t="s">
        <v>25</v>
      </c>
      <c r="K19" s="68" t="s">
        <v>26</v>
      </c>
      <c r="L19" s="68" t="s">
        <v>27</v>
      </c>
      <c r="M19" s="69" t="s">
        <v>259</v>
      </c>
      <c r="N19" s="69" t="s">
        <v>258</v>
      </c>
      <c r="O19" s="2"/>
      <c r="P19" s="2"/>
    </row>
    <row r="20" spans="1:16" x14ac:dyDescent="0.3">
      <c r="B20" s="2">
        <v>0.703125</v>
      </c>
      <c r="C20" s="2">
        <v>0.703125</v>
      </c>
      <c r="D20" s="2"/>
      <c r="E20" s="76">
        <v>-5.01</v>
      </c>
      <c r="F20" s="2"/>
      <c r="G20" s="2"/>
      <c r="H20" s="73">
        <v>34.619999999999997</v>
      </c>
      <c r="I20" s="12">
        <v>89.5</v>
      </c>
      <c r="J20" s="2">
        <v>-89.5</v>
      </c>
      <c r="K20" s="2">
        <v>0</v>
      </c>
      <c r="L20" s="2">
        <v>359</v>
      </c>
      <c r="M20" s="32">
        <f>E22/B20</f>
        <v>504.87466666666666</v>
      </c>
      <c r="N20" s="33">
        <f>$M$5-(I20-H20)/C20</f>
        <v>177.94844444444445</v>
      </c>
      <c r="O20" s="2"/>
      <c r="P20" s="2"/>
    </row>
    <row r="21" spans="1:16" x14ac:dyDescent="0.3">
      <c r="B21" s="2"/>
      <c r="C21" s="2"/>
      <c r="D21" s="2"/>
      <c r="E21" s="72" t="s">
        <v>50</v>
      </c>
      <c r="F21" s="13"/>
      <c r="G21" s="11"/>
      <c r="H21" s="11"/>
      <c r="L21" s="3"/>
      <c r="M21" s="2"/>
      <c r="N21" s="2"/>
      <c r="O21" s="2"/>
      <c r="P21" s="2"/>
    </row>
    <row r="22" spans="1:16" x14ac:dyDescent="0.3">
      <c r="B22" s="2"/>
      <c r="C22" s="2"/>
      <c r="D22" s="2"/>
      <c r="E22" s="13">
        <f>(180-ABS(E20))+180</f>
        <v>354.99</v>
      </c>
      <c r="F22" s="77" t="s">
        <v>279</v>
      </c>
      <c r="G22" s="11"/>
      <c r="H22" s="11"/>
      <c r="L22" s="3"/>
      <c r="M22" s="2"/>
      <c r="N22" s="2"/>
      <c r="O22" s="2"/>
      <c r="P22" s="2"/>
    </row>
    <row r="23" spans="1:16" ht="24.6" x14ac:dyDescent="0.3">
      <c r="A23" s="64" t="s">
        <v>280</v>
      </c>
      <c r="B23" s="65" t="s">
        <v>18</v>
      </c>
      <c r="C23" s="65" t="s">
        <v>19</v>
      </c>
      <c r="D23" s="66"/>
      <c r="E23" s="67" t="s">
        <v>238</v>
      </c>
      <c r="F23" s="68"/>
      <c r="G23" s="68"/>
      <c r="H23" s="68" t="s">
        <v>239</v>
      </c>
      <c r="I23" s="67" t="s">
        <v>24</v>
      </c>
      <c r="J23" s="68" t="s">
        <v>25</v>
      </c>
      <c r="K23" s="68" t="s">
        <v>26</v>
      </c>
      <c r="L23" s="68" t="s">
        <v>27</v>
      </c>
      <c r="M23" s="69" t="s">
        <v>259</v>
      </c>
      <c r="N23" s="69" t="s">
        <v>258</v>
      </c>
      <c r="O23" s="2"/>
      <c r="P23" s="2"/>
    </row>
    <row r="24" spans="1:16" x14ac:dyDescent="0.3">
      <c r="B24" s="2">
        <v>0.703125</v>
      </c>
      <c r="C24" s="2">
        <v>0.703125</v>
      </c>
      <c r="D24" s="2"/>
      <c r="E24" s="11">
        <v>34.58</v>
      </c>
      <c r="F24" s="2"/>
      <c r="G24" s="2"/>
      <c r="H24" s="73">
        <v>8.25</v>
      </c>
      <c r="I24" s="12">
        <v>89.5</v>
      </c>
      <c r="J24" s="2">
        <v>-89.5</v>
      </c>
      <c r="K24" s="2">
        <v>0</v>
      </c>
      <c r="L24" s="2">
        <v>359</v>
      </c>
      <c r="M24" s="32">
        <f>E24/B24</f>
        <v>49.18044444444444</v>
      </c>
      <c r="N24" s="33">
        <f>$M$5-(I24-H24)/C24</f>
        <v>140.44444444444446</v>
      </c>
      <c r="O24" s="2"/>
      <c r="P24" s="2"/>
    </row>
    <row r="25" spans="1:16" x14ac:dyDescent="0.3">
      <c r="B25" s="2"/>
      <c r="C25" s="2"/>
      <c r="D25" s="2"/>
      <c r="E25" s="72" t="s">
        <v>50</v>
      </c>
      <c r="F25" s="13"/>
      <c r="G25" s="11"/>
      <c r="H25" s="11"/>
      <c r="L25" s="3"/>
      <c r="M25" s="2"/>
      <c r="N25" s="2"/>
      <c r="O25" s="2"/>
      <c r="P25" s="2"/>
    </row>
    <row r="26" spans="1:16" x14ac:dyDescent="0.3">
      <c r="B26" s="2"/>
      <c r="C26" s="2"/>
      <c r="D26" s="2"/>
      <c r="E26" s="72">
        <f>(180-ABS(E24))+180</f>
        <v>325.42</v>
      </c>
      <c r="F26" s="72" t="s">
        <v>93</v>
      </c>
      <c r="G26" s="11"/>
      <c r="H26" s="11"/>
      <c r="L26" s="3"/>
      <c r="M26" s="2"/>
      <c r="N26" s="2"/>
      <c r="O26" s="2"/>
      <c r="P26" s="2"/>
    </row>
    <row r="27" spans="1:16" ht="24.6" x14ac:dyDescent="0.3">
      <c r="A27" s="64" t="s">
        <v>281</v>
      </c>
      <c r="B27" s="65" t="s">
        <v>18</v>
      </c>
      <c r="C27" s="65" t="s">
        <v>19</v>
      </c>
      <c r="D27" s="66"/>
      <c r="E27" s="67" t="s">
        <v>238</v>
      </c>
      <c r="F27" s="68"/>
      <c r="G27" s="68"/>
      <c r="H27" s="68" t="s">
        <v>239</v>
      </c>
      <c r="I27" s="67" t="s">
        <v>24</v>
      </c>
      <c r="J27" s="68" t="s">
        <v>25</v>
      </c>
      <c r="K27" s="68" t="s">
        <v>26</v>
      </c>
      <c r="L27" s="68" t="s">
        <v>27</v>
      </c>
      <c r="M27" s="69" t="s">
        <v>259</v>
      </c>
      <c r="N27" s="69" t="s">
        <v>258</v>
      </c>
      <c r="O27" s="2"/>
      <c r="P27" s="2"/>
    </row>
    <row r="28" spans="1:16" x14ac:dyDescent="0.3">
      <c r="B28" s="2">
        <v>0.703125</v>
      </c>
      <c r="C28" s="2">
        <v>0.703125</v>
      </c>
      <c r="D28" s="2"/>
      <c r="E28" s="11">
        <v>38.6</v>
      </c>
      <c r="F28" s="2"/>
      <c r="G28" s="2"/>
      <c r="H28" s="73">
        <v>8.6999999999999993</v>
      </c>
      <c r="I28" s="12">
        <v>89.5</v>
      </c>
      <c r="J28" s="2">
        <v>-89.5</v>
      </c>
      <c r="K28" s="2">
        <v>0</v>
      </c>
      <c r="L28" s="2">
        <v>359</v>
      </c>
      <c r="M28" s="32">
        <f>E28/B28</f>
        <v>54.897777777777783</v>
      </c>
      <c r="N28" s="33">
        <f>$M$5-(I28-H28)/C28</f>
        <v>141.08444444444444</v>
      </c>
      <c r="O28" s="2"/>
      <c r="P28" s="2"/>
    </row>
    <row r="29" spans="1:16" x14ac:dyDescent="0.3">
      <c r="B29" s="2"/>
      <c r="C29" s="2"/>
      <c r="D29" s="2"/>
      <c r="E29" s="72" t="s">
        <v>50</v>
      </c>
      <c r="F29" s="13"/>
      <c r="G29" s="11"/>
      <c r="H29" s="11"/>
      <c r="L29" s="3"/>
      <c r="M29" s="2"/>
      <c r="N29" s="2"/>
      <c r="O29" s="2"/>
      <c r="P29" s="2"/>
    </row>
    <row r="30" spans="1:16" x14ac:dyDescent="0.3">
      <c r="B30" s="2"/>
      <c r="C30" s="2"/>
      <c r="D30" s="2"/>
      <c r="E30" s="72">
        <f>(180-ABS(E28))+180</f>
        <v>321.39999999999998</v>
      </c>
      <c r="F30" s="72" t="s">
        <v>93</v>
      </c>
      <c r="G30" s="11"/>
      <c r="H30" s="11"/>
      <c r="L30" s="3"/>
      <c r="M30" s="2"/>
      <c r="N30" s="2"/>
      <c r="O30" s="2"/>
      <c r="P30" s="2"/>
    </row>
    <row r="31" spans="1:16" ht="24.6" x14ac:dyDescent="0.3">
      <c r="A31" s="64" t="s">
        <v>282</v>
      </c>
      <c r="B31" s="65" t="s">
        <v>18</v>
      </c>
      <c r="C31" s="65" t="s">
        <v>19</v>
      </c>
      <c r="D31" s="66"/>
      <c r="E31" s="67" t="s">
        <v>238</v>
      </c>
      <c r="F31" s="68"/>
      <c r="G31" s="68"/>
      <c r="H31" s="68" t="s">
        <v>239</v>
      </c>
      <c r="I31" s="67" t="s">
        <v>24</v>
      </c>
      <c r="J31" s="68" t="s">
        <v>25</v>
      </c>
      <c r="K31" s="68" t="s">
        <v>26</v>
      </c>
      <c r="L31" s="68" t="s">
        <v>27</v>
      </c>
      <c r="M31" s="69" t="s">
        <v>259</v>
      </c>
      <c r="N31" s="69" t="s">
        <v>258</v>
      </c>
      <c r="O31" s="2"/>
      <c r="P31" s="2"/>
    </row>
    <row r="32" spans="1:16" x14ac:dyDescent="0.3">
      <c r="B32" s="2">
        <v>0.703125</v>
      </c>
      <c r="C32" s="2">
        <v>0.703125</v>
      </c>
      <c r="D32" s="2"/>
      <c r="E32" s="11">
        <v>39.700000000000003</v>
      </c>
      <c r="F32" s="2"/>
      <c r="G32" s="2"/>
      <c r="H32" s="73">
        <v>-0.45</v>
      </c>
      <c r="I32" s="12">
        <v>89.5</v>
      </c>
      <c r="J32" s="2">
        <v>-89.5</v>
      </c>
      <c r="K32" s="2">
        <v>0</v>
      </c>
      <c r="L32" s="2">
        <v>359</v>
      </c>
      <c r="M32" s="32">
        <f>E32/B32</f>
        <v>56.462222222222223</v>
      </c>
      <c r="N32" s="33">
        <f>$M$5-(I32-H32)/C32</f>
        <v>128.07111111111112</v>
      </c>
      <c r="O32" s="2"/>
      <c r="P32" s="2"/>
    </row>
    <row r="33" spans="1:16" x14ac:dyDescent="0.3">
      <c r="B33" s="2"/>
      <c r="C33" s="2"/>
      <c r="D33" s="2"/>
      <c r="E33" s="72" t="s">
        <v>50</v>
      </c>
      <c r="F33" s="13"/>
      <c r="G33" s="11"/>
      <c r="H33" s="11"/>
      <c r="L33" s="3"/>
      <c r="M33" s="2"/>
      <c r="N33" s="2"/>
      <c r="O33" s="2"/>
      <c r="P33" s="2"/>
    </row>
    <row r="34" spans="1:16" x14ac:dyDescent="0.3">
      <c r="B34" s="2"/>
      <c r="C34" s="2"/>
      <c r="D34" s="2"/>
      <c r="E34" s="72">
        <f>(180-ABS(E32))+180</f>
        <v>320.3</v>
      </c>
      <c r="F34" s="72" t="s">
        <v>93</v>
      </c>
      <c r="G34" s="11"/>
      <c r="H34" s="11"/>
      <c r="L34" s="3"/>
      <c r="M34" s="2"/>
      <c r="N34" s="2"/>
      <c r="O34" s="2"/>
      <c r="P34" s="2"/>
    </row>
    <row r="35" spans="1:16" ht="24.6" x14ac:dyDescent="0.3">
      <c r="A35" s="64" t="s">
        <v>283</v>
      </c>
      <c r="B35" s="65" t="s">
        <v>18</v>
      </c>
      <c r="C35" s="65" t="s">
        <v>19</v>
      </c>
      <c r="D35" s="66"/>
      <c r="E35" s="67" t="s">
        <v>238</v>
      </c>
      <c r="F35" s="68"/>
      <c r="G35" s="68"/>
      <c r="H35" s="68" t="s">
        <v>239</v>
      </c>
      <c r="I35" s="67" t="s">
        <v>24</v>
      </c>
      <c r="J35" s="68" t="s">
        <v>25</v>
      </c>
      <c r="K35" s="68" t="s">
        <v>26</v>
      </c>
      <c r="L35" s="68" t="s">
        <v>27</v>
      </c>
      <c r="M35" s="69" t="s">
        <v>259</v>
      </c>
      <c r="N35" s="69" t="s">
        <v>258</v>
      </c>
      <c r="O35" s="2"/>
      <c r="P35" s="2"/>
    </row>
    <row r="36" spans="1:16" x14ac:dyDescent="0.3">
      <c r="B36" s="2">
        <v>0.703125</v>
      </c>
      <c r="C36" s="2">
        <v>0.703125</v>
      </c>
      <c r="D36" s="2"/>
      <c r="E36" s="11">
        <v>-55.88</v>
      </c>
      <c r="F36" s="2"/>
      <c r="G36" s="2"/>
      <c r="H36" s="73">
        <v>-27.37</v>
      </c>
      <c r="I36" s="12">
        <v>89.5</v>
      </c>
      <c r="J36" s="2">
        <v>-89.5</v>
      </c>
      <c r="K36" s="2">
        <v>0</v>
      </c>
      <c r="L36" s="2">
        <v>359</v>
      </c>
      <c r="M36" s="32">
        <f>E38/B36</f>
        <v>432.5262222222222</v>
      </c>
      <c r="N36" s="33">
        <f>$M$5-(I36-H36)/C36</f>
        <v>89.784888888888872</v>
      </c>
      <c r="O36" s="2"/>
      <c r="P36" s="2"/>
    </row>
    <row r="37" spans="1:16" x14ac:dyDescent="0.3">
      <c r="B37" s="2"/>
      <c r="C37" s="2"/>
      <c r="D37" s="2"/>
      <c r="E37" s="72" t="s">
        <v>50</v>
      </c>
      <c r="F37" s="13"/>
      <c r="G37" s="11"/>
      <c r="H37" s="11"/>
      <c r="L37" s="3"/>
      <c r="M37" s="2"/>
      <c r="N37" s="2"/>
      <c r="O37" s="2"/>
      <c r="P37" s="2"/>
    </row>
    <row r="38" spans="1:16" x14ac:dyDescent="0.3">
      <c r="B38" s="2"/>
      <c r="C38" s="2"/>
      <c r="D38" s="2"/>
      <c r="E38" s="78">
        <f>(180-ABS(E36))+180</f>
        <v>304.12</v>
      </c>
      <c r="F38" s="72" t="s">
        <v>93</v>
      </c>
      <c r="G38" s="11"/>
      <c r="H38" s="11"/>
      <c r="L38" s="3"/>
      <c r="M38" s="2"/>
      <c r="N38" s="2"/>
      <c r="O38" s="2"/>
      <c r="P38" s="2"/>
    </row>
    <row r="39" spans="1:16" ht="24.6" x14ac:dyDescent="0.3">
      <c r="A39" s="64" t="s">
        <v>284</v>
      </c>
      <c r="B39" s="65" t="s">
        <v>18</v>
      </c>
      <c r="C39" s="65" t="s">
        <v>19</v>
      </c>
      <c r="D39" s="66"/>
      <c r="E39" s="67" t="s">
        <v>238</v>
      </c>
      <c r="F39" s="68"/>
      <c r="G39" s="68"/>
      <c r="H39" s="68" t="s">
        <v>239</v>
      </c>
      <c r="I39" s="67" t="s">
        <v>24</v>
      </c>
      <c r="J39" s="68" t="s">
        <v>25</v>
      </c>
      <c r="K39" s="68" t="s">
        <v>26</v>
      </c>
      <c r="L39" s="68" t="s">
        <v>27</v>
      </c>
      <c r="M39" s="69" t="s">
        <v>259</v>
      </c>
      <c r="N39" s="69" t="s">
        <v>258</v>
      </c>
      <c r="O39" s="2"/>
      <c r="P39" s="2"/>
    </row>
    <row r="40" spans="1:16" x14ac:dyDescent="0.3">
      <c r="B40" s="2">
        <v>0.703125</v>
      </c>
      <c r="C40" s="2">
        <v>0.703125</v>
      </c>
      <c r="D40" s="2"/>
      <c r="E40" s="11">
        <v>-39.381100000000004</v>
      </c>
      <c r="F40" s="2"/>
      <c r="G40" s="2"/>
      <c r="H40" s="73">
        <v>-5.5949999999999998</v>
      </c>
      <c r="I40" s="12">
        <v>89.5</v>
      </c>
      <c r="J40" s="2">
        <v>-89.5</v>
      </c>
      <c r="K40" s="2">
        <v>0</v>
      </c>
      <c r="L40" s="2">
        <v>359</v>
      </c>
      <c r="M40" s="32">
        <f>E42/B40</f>
        <v>455.99132444444444</v>
      </c>
      <c r="N40" s="33">
        <f>$M$5-(I40-H40)/C40</f>
        <v>120.75377777777777</v>
      </c>
      <c r="O40" s="2"/>
      <c r="P40" s="2"/>
    </row>
    <row r="41" spans="1:16" x14ac:dyDescent="0.3">
      <c r="B41" s="2"/>
      <c r="C41" s="2"/>
      <c r="D41" s="2"/>
      <c r="E41" s="72" t="s">
        <v>50</v>
      </c>
      <c r="F41" s="13"/>
      <c r="G41" s="11"/>
      <c r="H41" s="11"/>
      <c r="L41" s="3"/>
      <c r="M41" s="2"/>
      <c r="N41" s="2"/>
      <c r="O41" s="2"/>
      <c r="P41" s="2"/>
    </row>
    <row r="42" spans="1:16" x14ac:dyDescent="0.3">
      <c r="B42" s="2"/>
      <c r="C42" s="2"/>
      <c r="D42" s="2"/>
      <c r="E42" s="78">
        <f>(180-ABS(E40))+180</f>
        <v>320.6189</v>
      </c>
      <c r="F42" s="72" t="s">
        <v>93</v>
      </c>
      <c r="G42" s="11"/>
      <c r="H42" s="11"/>
      <c r="L42" s="3"/>
      <c r="M42" s="2"/>
      <c r="N42" s="2"/>
      <c r="O42" s="2"/>
      <c r="P42" s="2"/>
    </row>
    <row r="43" spans="1:16" ht="24.6" x14ac:dyDescent="0.3">
      <c r="A43" s="64" t="s">
        <v>285</v>
      </c>
      <c r="B43" s="65" t="s">
        <v>18</v>
      </c>
      <c r="C43" s="65" t="s">
        <v>19</v>
      </c>
      <c r="D43" s="66"/>
      <c r="E43" s="67" t="s">
        <v>238</v>
      </c>
      <c r="F43" s="68"/>
      <c r="G43" s="68"/>
      <c r="H43" s="68" t="s">
        <v>239</v>
      </c>
      <c r="I43" s="67" t="s">
        <v>24</v>
      </c>
      <c r="J43" s="68" t="s">
        <v>25</v>
      </c>
      <c r="K43" s="68" t="s">
        <v>26</v>
      </c>
      <c r="L43" s="68" t="s">
        <v>27</v>
      </c>
      <c r="M43" s="69" t="s">
        <v>259</v>
      </c>
      <c r="N43" s="69" t="s">
        <v>258</v>
      </c>
      <c r="O43" s="2"/>
      <c r="P43" s="2"/>
    </row>
    <row r="44" spans="1:16" x14ac:dyDescent="0.3">
      <c r="B44" s="2">
        <v>0.703125</v>
      </c>
      <c r="C44" s="2">
        <v>0.703125</v>
      </c>
      <c r="D44" s="2"/>
      <c r="E44" s="11">
        <v>-40.35</v>
      </c>
      <c r="F44" s="2"/>
      <c r="G44" s="2"/>
      <c r="H44" s="73">
        <v>-3.68</v>
      </c>
      <c r="I44" s="12">
        <v>89.5</v>
      </c>
      <c r="J44" s="2">
        <v>-89.5</v>
      </c>
      <c r="K44" s="2">
        <v>0</v>
      </c>
      <c r="L44" s="2">
        <v>359</v>
      </c>
      <c r="M44" s="32">
        <f>E46/B44</f>
        <v>454.61333333333329</v>
      </c>
      <c r="N44" s="33">
        <f>$M$5-(I44-H44)/C44</f>
        <v>123.47733333333332</v>
      </c>
      <c r="O44" s="2"/>
      <c r="P44" s="2"/>
    </row>
    <row r="45" spans="1:16" x14ac:dyDescent="0.3">
      <c r="B45" s="2"/>
      <c r="C45" s="2"/>
      <c r="D45" s="2"/>
      <c r="E45" s="72" t="s">
        <v>50</v>
      </c>
      <c r="F45" s="13"/>
      <c r="G45" s="11"/>
      <c r="H45" s="11"/>
      <c r="L45" s="3"/>
      <c r="M45" s="2"/>
      <c r="N45" s="2"/>
      <c r="O45" s="2"/>
      <c r="P45" s="2"/>
    </row>
    <row r="46" spans="1:16" x14ac:dyDescent="0.3">
      <c r="B46" s="2"/>
      <c r="C46" s="2"/>
      <c r="D46" s="2"/>
      <c r="E46" s="78">
        <f>(180-ABS(E44))+180</f>
        <v>319.64999999999998</v>
      </c>
      <c r="F46" s="72" t="s">
        <v>93</v>
      </c>
      <c r="G46" s="11"/>
      <c r="H46" s="11"/>
      <c r="L46" s="3"/>
      <c r="M46" s="2"/>
      <c r="N46" s="2"/>
      <c r="O46" s="2"/>
      <c r="P46" s="2"/>
    </row>
    <row r="47" spans="1:16" ht="24.6" x14ac:dyDescent="0.3">
      <c r="A47" s="64" t="s">
        <v>286</v>
      </c>
      <c r="B47" s="65" t="s">
        <v>18</v>
      </c>
      <c r="C47" s="65" t="s">
        <v>19</v>
      </c>
      <c r="D47" s="66"/>
      <c r="E47" s="67" t="s">
        <v>238</v>
      </c>
      <c r="F47" s="68"/>
      <c r="G47" s="68"/>
      <c r="H47" s="68" t="s">
        <v>239</v>
      </c>
      <c r="I47" s="67" t="s">
        <v>24</v>
      </c>
      <c r="J47" s="68" t="s">
        <v>25</v>
      </c>
      <c r="K47" s="68" t="s">
        <v>26</v>
      </c>
      <c r="L47" s="68" t="s">
        <v>27</v>
      </c>
      <c r="M47" s="69" t="s">
        <v>259</v>
      </c>
      <c r="N47" s="69" t="s">
        <v>258</v>
      </c>
      <c r="O47" s="2"/>
      <c r="P47" s="2"/>
    </row>
    <row r="48" spans="1:16" x14ac:dyDescent="0.3">
      <c r="B48" s="2">
        <v>0.703125</v>
      </c>
      <c r="C48" s="2">
        <v>0.703125</v>
      </c>
      <c r="D48" s="2"/>
      <c r="E48" s="11">
        <v>-39.299999999999997</v>
      </c>
      <c r="F48" s="2"/>
      <c r="G48" s="2"/>
      <c r="H48" s="73">
        <v>-6.3666999999999998</v>
      </c>
      <c r="I48" s="12">
        <v>89.5</v>
      </c>
      <c r="J48" s="2">
        <v>-89.5</v>
      </c>
      <c r="K48" s="2">
        <v>0</v>
      </c>
      <c r="L48" s="2">
        <v>359</v>
      </c>
      <c r="M48" s="32">
        <f>E50/B48</f>
        <v>456.10666666666663</v>
      </c>
      <c r="N48" s="33">
        <f>$M$5-(I48-H48)/C48</f>
        <v>119.65624888888891</v>
      </c>
      <c r="O48" s="2"/>
      <c r="P48" s="2"/>
    </row>
    <row r="49" spans="1:16" x14ac:dyDescent="0.3">
      <c r="B49" s="2"/>
      <c r="C49" s="2"/>
      <c r="D49" s="2"/>
      <c r="E49" s="72" t="s">
        <v>50</v>
      </c>
      <c r="F49" s="13"/>
      <c r="G49" s="11"/>
      <c r="H49" s="11"/>
      <c r="L49" s="3"/>
      <c r="M49" s="2"/>
      <c r="N49" s="2"/>
      <c r="O49" s="2"/>
      <c r="P49" s="2"/>
    </row>
    <row r="50" spans="1:16" x14ac:dyDescent="0.3">
      <c r="B50" s="2"/>
      <c r="C50" s="2"/>
      <c r="D50" s="2"/>
      <c r="E50" s="78">
        <f>(180-ABS(E48))+180</f>
        <v>320.7</v>
      </c>
      <c r="F50" s="72" t="s">
        <v>93</v>
      </c>
      <c r="G50" s="11"/>
      <c r="H50" s="11"/>
      <c r="L50" s="3"/>
      <c r="M50" s="2"/>
      <c r="N50" s="2"/>
      <c r="O50" s="2"/>
      <c r="P50" s="2"/>
    </row>
    <row r="51" spans="1:16" ht="24.6" x14ac:dyDescent="0.3">
      <c r="A51" s="64" t="s">
        <v>287</v>
      </c>
      <c r="B51" s="65" t="s">
        <v>18</v>
      </c>
      <c r="C51" s="65" t="s">
        <v>19</v>
      </c>
      <c r="D51" s="66"/>
      <c r="E51" s="67" t="s">
        <v>238</v>
      </c>
      <c r="F51" s="68"/>
      <c r="G51" s="68"/>
      <c r="H51" s="68" t="s">
        <v>239</v>
      </c>
      <c r="I51" s="67" t="s">
        <v>24</v>
      </c>
      <c r="J51" s="68" t="s">
        <v>25</v>
      </c>
      <c r="K51" s="68" t="s">
        <v>26</v>
      </c>
      <c r="L51" s="68" t="s">
        <v>27</v>
      </c>
      <c r="M51" s="69" t="s">
        <v>259</v>
      </c>
      <c r="N51" s="69" t="s">
        <v>258</v>
      </c>
      <c r="O51" s="2"/>
      <c r="P51" s="2"/>
    </row>
    <row r="52" spans="1:16" x14ac:dyDescent="0.3">
      <c r="B52" s="2">
        <v>0.703125</v>
      </c>
      <c r="C52" s="2">
        <v>0.703125</v>
      </c>
      <c r="D52" s="2"/>
      <c r="E52" s="11">
        <v>-78.966389000000007</v>
      </c>
      <c r="F52" s="2"/>
      <c r="G52" s="2"/>
      <c r="H52" s="73">
        <v>-2.8913890000000002</v>
      </c>
      <c r="I52" s="12">
        <v>89.5</v>
      </c>
      <c r="J52" s="2">
        <v>-89.5</v>
      </c>
      <c r="K52" s="2">
        <v>0</v>
      </c>
      <c r="L52" s="2">
        <v>359</v>
      </c>
      <c r="M52" s="32">
        <f>E54/B52</f>
        <v>399.69224675555557</v>
      </c>
      <c r="N52" s="33">
        <f>$M$5-(I52-H52)/C52</f>
        <v>124.59891342222221</v>
      </c>
      <c r="O52" s="2"/>
      <c r="P52" s="2"/>
    </row>
    <row r="53" spans="1:16" x14ac:dyDescent="0.3">
      <c r="B53" s="2"/>
      <c r="C53" s="2"/>
      <c r="D53" s="2"/>
      <c r="E53" s="72" t="s">
        <v>50</v>
      </c>
      <c r="F53" s="13"/>
      <c r="G53" s="11"/>
      <c r="H53" s="11"/>
      <c r="L53" s="3"/>
      <c r="M53" s="2"/>
      <c r="N53" s="2"/>
      <c r="O53" s="2"/>
      <c r="P53" s="2"/>
    </row>
    <row r="54" spans="1:16" x14ac:dyDescent="0.3">
      <c r="B54" s="2"/>
      <c r="C54" s="2"/>
      <c r="D54" s="2"/>
      <c r="E54" s="78">
        <f>(180-ABS(E52))+180</f>
        <v>281.03361100000001</v>
      </c>
      <c r="F54" s="72" t="s">
        <v>93</v>
      </c>
      <c r="G54" s="11"/>
      <c r="H54" s="11"/>
      <c r="L54" s="3"/>
      <c r="M54" s="2"/>
      <c r="N54" s="2"/>
      <c r="O54" s="2"/>
      <c r="P54" s="2"/>
    </row>
    <row r="55" spans="1:16" x14ac:dyDescent="0.3">
      <c r="B55" s="2"/>
      <c r="C55" s="2"/>
      <c r="D55" s="2"/>
      <c r="E55" s="75"/>
      <c r="F55" s="75"/>
      <c r="G55" s="11"/>
      <c r="H55" s="11"/>
      <c r="L55" s="3"/>
      <c r="M55" s="2"/>
      <c r="N55" s="2"/>
      <c r="O55" s="2"/>
      <c r="P55" s="2"/>
    </row>
    <row r="56" spans="1:16" x14ac:dyDescent="0.3">
      <c r="B56" s="2"/>
      <c r="C56" s="2"/>
      <c r="D56" s="2"/>
      <c r="E56" s="75"/>
      <c r="F56" s="75"/>
      <c r="G56" s="11"/>
      <c r="H56" s="11"/>
      <c r="L56" s="3"/>
      <c r="M56" s="2"/>
      <c r="N56" s="2"/>
      <c r="O56" s="2"/>
      <c r="P56" s="2"/>
    </row>
    <row r="57" spans="1:16" x14ac:dyDescent="0.3">
      <c r="B57" s="2"/>
      <c r="C57" s="2"/>
      <c r="D57" s="2"/>
      <c r="E57" s="75"/>
      <c r="F57" s="75"/>
      <c r="G57" s="11"/>
      <c r="H57" s="11"/>
      <c r="L57" s="3"/>
      <c r="M57" s="2"/>
      <c r="N57" s="2"/>
      <c r="O57" s="2"/>
      <c r="P57" s="2"/>
    </row>
    <row r="58" spans="1:16" x14ac:dyDescent="0.3">
      <c r="B58" s="2"/>
      <c r="C58" s="2"/>
      <c r="D58" s="2"/>
      <c r="E58" s="75"/>
      <c r="F58" s="75"/>
      <c r="G58" s="11"/>
      <c r="H58" s="11"/>
      <c r="L58" s="3"/>
      <c r="M58" s="2"/>
      <c r="N58" s="2"/>
      <c r="O58" s="2"/>
      <c r="P58" s="2"/>
    </row>
    <row r="59" spans="1:16" x14ac:dyDescent="0.3">
      <c r="B59" s="2"/>
      <c r="C59" s="2"/>
      <c r="D59" s="2"/>
      <c r="E59" s="75"/>
      <c r="F59" s="75"/>
      <c r="G59" s="11"/>
      <c r="H59" s="11"/>
      <c r="L59" s="3"/>
      <c r="M59" s="2"/>
      <c r="N59" s="2"/>
      <c r="O59" s="2"/>
      <c r="P59" s="2"/>
    </row>
    <row r="60" spans="1:16" x14ac:dyDescent="0.3">
      <c r="B60" s="2"/>
      <c r="C60" s="2"/>
      <c r="D60" s="2"/>
      <c r="E60" s="75"/>
      <c r="F60" s="75"/>
      <c r="G60" s="11"/>
      <c r="H60" s="11"/>
      <c r="L60" s="3"/>
      <c r="M60" s="2"/>
      <c r="N60" s="2"/>
      <c r="O60" s="2"/>
      <c r="P60" s="2"/>
    </row>
    <row r="61" spans="1:16" x14ac:dyDescent="0.3">
      <c r="B61" s="2"/>
      <c r="C61" s="2"/>
      <c r="D61" s="2"/>
      <c r="E61" s="75"/>
      <c r="F61" s="75"/>
      <c r="G61" s="11"/>
      <c r="H61" s="11"/>
      <c r="L61" s="3"/>
      <c r="M61" s="2"/>
      <c r="N61" s="2"/>
      <c r="O61" s="2"/>
      <c r="P61" s="2"/>
    </row>
    <row r="62" spans="1:16" x14ac:dyDescent="0.3">
      <c r="B62" s="2"/>
      <c r="C62" s="2"/>
      <c r="D62" s="2"/>
      <c r="E62" s="75"/>
      <c r="F62" s="75"/>
      <c r="G62" s="11"/>
      <c r="H62" s="11"/>
      <c r="L62" s="3"/>
      <c r="M62" s="2"/>
      <c r="N62" s="2"/>
      <c r="O62" s="2"/>
      <c r="P62" s="2"/>
    </row>
    <row r="63" spans="1:16" x14ac:dyDescent="0.3">
      <c r="B63" s="2"/>
      <c r="C63" s="2"/>
      <c r="D63" s="2"/>
      <c r="E63" s="75"/>
      <c r="F63" s="75"/>
      <c r="G63" s="11"/>
      <c r="H63" s="11"/>
      <c r="L63" s="3"/>
      <c r="M63" s="2"/>
      <c r="N63" s="2"/>
      <c r="O63" s="2"/>
      <c r="P63" s="2"/>
    </row>
    <row r="64" spans="1:16" x14ac:dyDescent="0.3">
      <c r="B64" s="2"/>
      <c r="C64" s="2"/>
      <c r="D64" s="2"/>
      <c r="E64" s="75"/>
      <c r="F64" s="75"/>
      <c r="G64" s="11"/>
      <c r="H64" s="11"/>
      <c r="L64" s="3"/>
      <c r="M64" s="2"/>
      <c r="N64" s="2"/>
      <c r="O64" s="2"/>
      <c r="P64" s="2"/>
    </row>
    <row r="65" spans="1:16" x14ac:dyDescent="0.3">
      <c r="B65" s="2"/>
      <c r="C65" s="2"/>
      <c r="D65" s="2"/>
      <c r="E65" s="75"/>
      <c r="F65" s="75"/>
      <c r="G65" s="11"/>
      <c r="H65" s="11"/>
      <c r="L65" s="3"/>
      <c r="M65" s="2"/>
      <c r="N65" s="2"/>
      <c r="O65" s="2"/>
      <c r="P65" s="2"/>
    </row>
    <row r="66" spans="1:16" x14ac:dyDescent="0.3">
      <c r="B66" s="2"/>
      <c r="C66" s="2"/>
      <c r="D66" s="2"/>
      <c r="E66" s="75"/>
      <c r="F66" s="75"/>
      <c r="G66" s="11"/>
      <c r="H66" s="11"/>
      <c r="L66" s="3"/>
      <c r="M66" s="2"/>
      <c r="N66" s="2"/>
      <c r="O66" s="2"/>
      <c r="P66" s="2"/>
    </row>
    <row r="67" spans="1:16" x14ac:dyDescent="0.3">
      <c r="B67" s="2"/>
      <c r="C67" s="2"/>
      <c r="D67" s="2"/>
      <c r="E67" s="75"/>
      <c r="F67" s="75"/>
      <c r="G67" s="11"/>
      <c r="H67" s="11"/>
      <c r="L67" s="3"/>
      <c r="M67" s="2"/>
      <c r="N67" s="2"/>
      <c r="O67" s="2"/>
      <c r="P67" s="2"/>
    </row>
    <row r="68" spans="1:16" ht="24.6" x14ac:dyDescent="0.3">
      <c r="A68" s="64" t="s">
        <v>288</v>
      </c>
      <c r="B68" s="65" t="s">
        <v>18</v>
      </c>
      <c r="C68" s="65" t="s">
        <v>19</v>
      </c>
      <c r="D68" s="66"/>
      <c r="E68" s="67" t="s">
        <v>238</v>
      </c>
      <c r="F68" s="68"/>
      <c r="G68" s="68"/>
      <c r="H68" s="68" t="s">
        <v>239</v>
      </c>
      <c r="I68" s="67" t="s">
        <v>24</v>
      </c>
      <c r="J68" s="68" t="s">
        <v>25</v>
      </c>
      <c r="K68" s="68" t="s">
        <v>26</v>
      </c>
      <c r="L68" s="68" t="s">
        <v>27</v>
      </c>
      <c r="M68" s="69" t="s">
        <v>246</v>
      </c>
      <c r="N68" s="69" t="s">
        <v>247</v>
      </c>
      <c r="O68" s="2"/>
      <c r="P68" s="2"/>
    </row>
    <row r="69" spans="1:16" x14ac:dyDescent="0.3">
      <c r="B69" s="2">
        <v>0.703125</v>
      </c>
      <c r="C69" s="2">
        <v>0.703125</v>
      </c>
      <c r="D69" s="2"/>
      <c r="E69" s="11">
        <v>144.7937</v>
      </c>
      <c r="F69" s="2"/>
      <c r="G69" s="2"/>
      <c r="H69" s="73">
        <v>13.4443</v>
      </c>
      <c r="I69" s="12">
        <v>89.5</v>
      </c>
      <c r="J69" s="2">
        <v>-89.5</v>
      </c>
      <c r="K69" s="2">
        <v>0</v>
      </c>
      <c r="L69" s="2">
        <v>359</v>
      </c>
      <c r="M69" s="32">
        <f>E69/B69</f>
        <v>205.92881777777777</v>
      </c>
      <c r="N69" s="33">
        <f>$M$5-(I69-H69)/C69</f>
        <v>147.83189333333331</v>
      </c>
      <c r="O69" s="2"/>
      <c r="P69" s="2"/>
    </row>
    <row r="70" spans="1:16" x14ac:dyDescent="0.3">
      <c r="B70" s="2"/>
      <c r="C70" s="2"/>
      <c r="D70" s="2"/>
      <c r="E70" s="72" t="s">
        <v>50</v>
      </c>
      <c r="F70" s="13"/>
      <c r="G70" s="11"/>
      <c r="H70" s="11"/>
      <c r="L70" s="3"/>
      <c r="M70" s="2"/>
      <c r="N70" s="2"/>
      <c r="O70" s="2"/>
      <c r="P70" s="2"/>
    </row>
    <row r="71" spans="1:16" x14ac:dyDescent="0.3">
      <c r="B71" s="2"/>
      <c r="C71" s="2"/>
      <c r="D71" s="2"/>
      <c r="E71" s="72">
        <f>(180-ABS(E69))+180</f>
        <v>215.2063</v>
      </c>
      <c r="F71" s="72" t="s">
        <v>93</v>
      </c>
      <c r="G71" s="11"/>
      <c r="H71" s="11"/>
      <c r="L71" s="3"/>
      <c r="M71" s="2"/>
      <c r="N71" s="2"/>
      <c r="O71" s="2"/>
      <c r="P71" s="2"/>
    </row>
    <row r="72" spans="1:16" x14ac:dyDescent="0.3">
      <c r="O72" s="2"/>
      <c r="P72" s="2"/>
    </row>
    <row r="73" spans="1:16" x14ac:dyDescent="0.3">
      <c r="O73" s="2"/>
      <c r="P73" s="2"/>
    </row>
    <row r="74" spans="1:16" ht="24.6" x14ac:dyDescent="0.3">
      <c r="A74" s="64" t="s">
        <v>262</v>
      </c>
      <c r="B74" s="65" t="s">
        <v>18</v>
      </c>
      <c r="C74" s="65" t="s">
        <v>19</v>
      </c>
      <c r="D74" s="66"/>
      <c r="E74" s="67" t="s">
        <v>238</v>
      </c>
      <c r="F74" s="68"/>
      <c r="G74" s="68"/>
      <c r="H74" s="68" t="s">
        <v>239</v>
      </c>
      <c r="I74" s="67" t="s">
        <v>24</v>
      </c>
      <c r="J74" s="68" t="s">
        <v>25</v>
      </c>
      <c r="K74" s="68" t="s">
        <v>26</v>
      </c>
      <c r="L74" s="68" t="s">
        <v>27</v>
      </c>
      <c r="M74" s="69" t="s">
        <v>260</v>
      </c>
      <c r="N74" s="69" t="s">
        <v>261</v>
      </c>
      <c r="O74" s="2"/>
      <c r="P74" s="2"/>
    </row>
    <row r="75" spans="1:16" x14ac:dyDescent="0.3">
      <c r="B75" s="2">
        <v>0.703125</v>
      </c>
      <c r="C75" s="2">
        <v>0.703125</v>
      </c>
      <c r="D75" s="2"/>
      <c r="E75" s="11">
        <v>126.99299999999999</v>
      </c>
      <c r="F75" s="2"/>
      <c r="G75" s="2"/>
      <c r="H75" s="73">
        <v>37.563369999999999</v>
      </c>
      <c r="I75" s="12">
        <v>89.5</v>
      </c>
      <c r="J75" s="2">
        <v>-89.5</v>
      </c>
      <c r="K75" s="2">
        <v>0</v>
      </c>
      <c r="L75" s="2">
        <v>359</v>
      </c>
      <c r="M75" s="32">
        <f>E75/B75</f>
        <v>180.61226666666667</v>
      </c>
      <c r="N75" s="33">
        <f>$M$5-(I75-H75)/C75</f>
        <v>182.13457066666666</v>
      </c>
      <c r="O75" s="2"/>
      <c r="P75" s="2"/>
    </row>
    <row r="76" spans="1:16" x14ac:dyDescent="0.3">
      <c r="B76" s="2"/>
      <c r="C76" s="2"/>
      <c r="D76" s="2"/>
      <c r="E76" s="72" t="s">
        <v>50</v>
      </c>
      <c r="F76" s="13"/>
      <c r="G76" s="11"/>
      <c r="H76" s="11"/>
      <c r="L76" s="3"/>
      <c r="M76" s="2"/>
      <c r="N76" s="2"/>
      <c r="O76" s="2"/>
      <c r="P76" s="2"/>
    </row>
    <row r="77" spans="1:16" x14ac:dyDescent="0.3">
      <c r="B77" s="2"/>
      <c r="C77" s="2"/>
      <c r="D77" s="2"/>
      <c r="E77" s="72">
        <f>(180-ABS(E75))+180</f>
        <v>233.00700000000001</v>
      </c>
      <c r="F77" s="72" t="s">
        <v>93</v>
      </c>
      <c r="G77" s="11"/>
      <c r="H77" s="11"/>
      <c r="L77" s="3"/>
      <c r="M77" s="2"/>
      <c r="N77" s="2"/>
      <c r="O77" s="2"/>
      <c r="P77" s="2"/>
    </row>
    <row r="78" spans="1:16" x14ac:dyDescent="0.3">
      <c r="A78" s="2"/>
      <c r="B78" s="2"/>
      <c r="C78" s="2"/>
      <c r="D78" s="2"/>
      <c r="E78" s="2"/>
      <c r="F78" s="2"/>
      <c r="G78" s="2"/>
      <c r="H78" s="2"/>
      <c r="N78" s="2"/>
      <c r="O78" s="2"/>
      <c r="P78" s="2"/>
    </row>
    <row r="79" spans="1:16" ht="24.6" x14ac:dyDescent="0.3">
      <c r="A79" s="64" t="s">
        <v>266</v>
      </c>
      <c r="B79" s="65" t="s">
        <v>18</v>
      </c>
      <c r="C79" s="65" t="s">
        <v>19</v>
      </c>
      <c r="D79" s="66"/>
      <c r="E79" s="67" t="s">
        <v>238</v>
      </c>
      <c r="F79" s="68"/>
      <c r="G79" s="68"/>
      <c r="H79" s="68" t="s">
        <v>239</v>
      </c>
      <c r="I79" s="67" t="s">
        <v>24</v>
      </c>
      <c r="J79" s="68" t="s">
        <v>25</v>
      </c>
      <c r="K79" s="68" t="s">
        <v>26</v>
      </c>
      <c r="L79" s="68" t="s">
        <v>27</v>
      </c>
      <c r="M79" s="69" t="s">
        <v>267</v>
      </c>
      <c r="N79" s="69" t="s">
        <v>268</v>
      </c>
      <c r="O79" s="2"/>
      <c r="P79" s="2"/>
    </row>
    <row r="80" spans="1:16" x14ac:dyDescent="0.3">
      <c r="A80" t="s">
        <v>250</v>
      </c>
      <c r="B80" s="2">
        <v>0.703125</v>
      </c>
      <c r="C80" s="2">
        <v>0.703125</v>
      </c>
      <c r="D80" s="2"/>
      <c r="E80" s="11">
        <v>114.32472</v>
      </c>
      <c r="F80" s="2"/>
      <c r="G80" s="2"/>
      <c r="H80" s="11">
        <v>30.643529999999998</v>
      </c>
      <c r="I80" s="12">
        <v>89.5</v>
      </c>
      <c r="J80" s="2">
        <v>-89.5</v>
      </c>
      <c r="K80" s="2">
        <v>0</v>
      </c>
      <c r="L80" s="2">
        <v>359</v>
      </c>
      <c r="M80" s="32">
        <f>E80/B80</f>
        <v>162.59515733333333</v>
      </c>
      <c r="N80" s="33">
        <f>$M$5-(I80-H80)/C80</f>
        <v>172.29302044444444</v>
      </c>
      <c r="O80" s="2"/>
      <c r="P80" s="2"/>
    </row>
    <row r="81" spans="1:16" x14ac:dyDescent="0.3">
      <c r="B81" s="2"/>
      <c r="C81" s="2"/>
      <c r="D81" s="2"/>
      <c r="E81" s="72" t="s">
        <v>50</v>
      </c>
      <c r="F81" s="13"/>
      <c r="G81" s="11"/>
      <c r="H81" s="11"/>
      <c r="L81" s="3"/>
      <c r="M81" s="2"/>
      <c r="N81" s="2"/>
      <c r="O81" s="2"/>
      <c r="P81" s="2"/>
    </row>
    <row r="82" spans="1:16" x14ac:dyDescent="0.3">
      <c r="B82" s="2"/>
      <c r="C82" s="2"/>
      <c r="D82" s="2"/>
      <c r="E82" s="72">
        <f>(180-ABS(E80))+180</f>
        <v>245.67527999999999</v>
      </c>
      <c r="F82" s="72" t="s">
        <v>93</v>
      </c>
      <c r="G82" s="11"/>
      <c r="H82" s="11"/>
      <c r="L82" s="3"/>
      <c r="M82" s="2"/>
      <c r="N82" s="2"/>
      <c r="O82" s="2"/>
      <c r="P82" s="2"/>
    </row>
    <row r="83" spans="1:16" x14ac:dyDescent="0.3">
      <c r="A83" s="2"/>
      <c r="B83" s="2"/>
      <c r="C83" s="2"/>
      <c r="D83" s="2"/>
      <c r="E83" s="2"/>
      <c r="F83" s="2"/>
      <c r="G83" s="2"/>
      <c r="H83" s="2"/>
      <c r="L83" s="3"/>
      <c r="M83" s="2"/>
      <c r="N83" s="2"/>
      <c r="O83" s="2"/>
      <c r="P83" s="2"/>
    </row>
    <row r="84" spans="1:16" ht="24.6" x14ac:dyDescent="0.3">
      <c r="A84" s="64" t="s">
        <v>269</v>
      </c>
      <c r="B84" s="65" t="s">
        <v>18</v>
      </c>
      <c r="C84" s="65" t="s">
        <v>19</v>
      </c>
      <c r="D84" s="66"/>
      <c r="E84" s="67" t="s">
        <v>238</v>
      </c>
      <c r="F84" s="68"/>
      <c r="G84" s="68"/>
      <c r="H84" s="68" t="s">
        <v>239</v>
      </c>
      <c r="I84" s="67" t="s">
        <v>24</v>
      </c>
      <c r="J84" s="68" t="s">
        <v>25</v>
      </c>
      <c r="K84" s="68" t="s">
        <v>26</v>
      </c>
      <c r="L84" s="68" t="s">
        <v>27</v>
      </c>
      <c r="M84" s="69" t="s">
        <v>270</v>
      </c>
      <c r="N84" s="69" t="s">
        <v>271</v>
      </c>
      <c r="O84" s="2"/>
      <c r="P84" s="2"/>
    </row>
    <row r="85" spans="1:16" x14ac:dyDescent="0.3">
      <c r="A85" t="s">
        <v>250</v>
      </c>
      <c r="B85" s="2">
        <v>0.703125</v>
      </c>
      <c r="C85" s="2">
        <v>0.703125</v>
      </c>
      <c r="D85" s="2"/>
      <c r="E85" s="73">
        <v>103.852</v>
      </c>
      <c r="F85" s="2"/>
      <c r="G85" s="2"/>
      <c r="H85" s="73">
        <v>1.29016</v>
      </c>
      <c r="I85" s="12">
        <v>89.5</v>
      </c>
      <c r="J85" s="2">
        <v>-89.5</v>
      </c>
      <c r="K85" s="2">
        <v>0</v>
      </c>
      <c r="L85" s="2">
        <v>359</v>
      </c>
      <c r="M85" s="32">
        <f>E85/B85</f>
        <v>147.70062222222222</v>
      </c>
      <c r="N85" s="33">
        <f>$M$5-(I85-H85)/C85</f>
        <v>130.54600533333334</v>
      </c>
      <c r="O85" s="2"/>
      <c r="P85" s="2"/>
    </row>
    <row r="86" spans="1:16" x14ac:dyDescent="0.3">
      <c r="B86" s="2"/>
      <c r="C86" s="2"/>
      <c r="D86" s="2"/>
      <c r="E86" s="72" t="s">
        <v>50</v>
      </c>
      <c r="F86" s="13"/>
      <c r="G86" s="11"/>
      <c r="H86" s="11"/>
      <c r="L86" s="3"/>
      <c r="M86" s="2"/>
      <c r="N86" s="2"/>
      <c r="O86" s="2"/>
      <c r="P86" s="2"/>
    </row>
    <row r="87" spans="1:16" x14ac:dyDescent="0.3">
      <c r="B87" s="2"/>
      <c r="C87" s="2"/>
      <c r="D87" s="2"/>
      <c r="E87" s="72">
        <f>(180-ABS(E85))+180</f>
        <v>256.14800000000002</v>
      </c>
      <c r="F87" s="72" t="s">
        <v>93</v>
      </c>
      <c r="G87" s="11"/>
      <c r="H87" s="11"/>
      <c r="L87" s="3"/>
      <c r="M87" s="2"/>
      <c r="N87" s="2"/>
      <c r="O87" s="2"/>
      <c r="P87" s="2"/>
    </row>
    <row r="88" spans="1:16" x14ac:dyDescent="0.3">
      <c r="A88" s="2"/>
      <c r="B88" s="2"/>
      <c r="C88" s="2"/>
      <c r="D88" s="2"/>
      <c r="E88" s="2"/>
      <c r="F88" s="2"/>
      <c r="G88" s="2"/>
      <c r="H88" s="2"/>
      <c r="L88" s="3"/>
      <c r="M88" s="2"/>
      <c r="N88" s="2"/>
      <c r="O88" s="2"/>
      <c r="P88" s="2"/>
    </row>
    <row r="89" spans="1:16" x14ac:dyDescent="0.3">
      <c r="A89" s="2"/>
      <c r="B89" s="2"/>
      <c r="C89" s="2"/>
      <c r="D89" s="2"/>
      <c r="E89" s="2"/>
      <c r="F89" s="2"/>
      <c r="G89" s="2"/>
      <c r="H89" s="2"/>
      <c r="L89" s="3"/>
      <c r="M89" s="2"/>
      <c r="N89" s="2"/>
      <c r="O89" s="2"/>
      <c r="P89" s="2"/>
    </row>
    <row r="90" spans="1:16" x14ac:dyDescent="0.3">
      <c r="A90" s="2"/>
      <c r="B90" s="2"/>
      <c r="C90" s="2"/>
      <c r="D90" s="2"/>
      <c r="E90" s="2"/>
      <c r="F90" s="2"/>
      <c r="G90" s="2"/>
      <c r="H90" s="2"/>
      <c r="L90" s="3"/>
      <c r="M90" s="2"/>
      <c r="N90" s="2"/>
      <c r="O90" s="2"/>
      <c r="P90" s="2"/>
    </row>
    <row r="91" spans="1:16" x14ac:dyDescent="0.3">
      <c r="A91" s="2"/>
      <c r="B91" s="2"/>
      <c r="C91" s="2"/>
      <c r="D91" s="2"/>
      <c r="E91" s="2"/>
      <c r="F91" s="2"/>
      <c r="G91" s="2"/>
      <c r="H91" s="2"/>
      <c r="L91" s="3"/>
      <c r="M91" s="2"/>
      <c r="N91" s="2"/>
      <c r="O91" s="2"/>
      <c r="P91" s="2"/>
    </row>
    <row r="92" spans="1:16" ht="24.6" x14ac:dyDescent="0.3">
      <c r="A92" s="64" t="s">
        <v>249</v>
      </c>
      <c r="B92" s="65" t="s">
        <v>18</v>
      </c>
      <c r="C92" s="65" t="s">
        <v>19</v>
      </c>
      <c r="D92" s="66"/>
      <c r="E92" s="67" t="s">
        <v>238</v>
      </c>
      <c r="F92" s="68"/>
      <c r="G92" s="68"/>
      <c r="H92" s="68" t="s">
        <v>239</v>
      </c>
      <c r="I92" s="67" t="s">
        <v>24</v>
      </c>
      <c r="J92" s="68" t="s">
        <v>25</v>
      </c>
      <c r="K92" s="68" t="s">
        <v>26</v>
      </c>
      <c r="L92" s="68" t="s">
        <v>27</v>
      </c>
      <c r="M92" s="69" t="s">
        <v>256</v>
      </c>
      <c r="N92" s="69" t="s">
        <v>257</v>
      </c>
      <c r="O92" s="2"/>
      <c r="P92" s="2"/>
    </row>
    <row r="93" spans="1:16" x14ac:dyDescent="0.3">
      <c r="A93" t="s">
        <v>250</v>
      </c>
      <c r="B93" s="2">
        <v>0.703125</v>
      </c>
      <c r="C93" s="2">
        <v>0.703125</v>
      </c>
      <c r="D93" s="2"/>
      <c r="E93" s="2">
        <v>-175</v>
      </c>
      <c r="F93" s="2"/>
      <c r="G93" s="2"/>
      <c r="H93" s="2">
        <v>13</v>
      </c>
      <c r="I93" s="12">
        <v>89.5</v>
      </c>
      <c r="J93" s="2">
        <v>-89.5</v>
      </c>
      <c r="K93" s="2">
        <v>0</v>
      </c>
      <c r="L93" s="2">
        <v>359</v>
      </c>
      <c r="M93" s="32">
        <f>E95/B93</f>
        <v>263.11111111111109</v>
      </c>
      <c r="N93" s="33">
        <f>$M$5-(I93-H93)/C93</f>
        <v>147.19999999999999</v>
      </c>
      <c r="O93" s="2"/>
      <c r="P93" s="2"/>
    </row>
    <row r="94" spans="1:16" x14ac:dyDescent="0.3">
      <c r="B94" s="2"/>
      <c r="C94" s="2"/>
      <c r="D94" s="2"/>
      <c r="E94" s="13" t="s">
        <v>50</v>
      </c>
      <c r="F94" s="13"/>
      <c r="G94" s="11"/>
      <c r="H94" s="11"/>
      <c r="L94" s="3"/>
      <c r="M94" s="2"/>
      <c r="N94" s="2"/>
      <c r="O94" s="2"/>
      <c r="P94" s="2"/>
    </row>
    <row r="95" spans="1:16" x14ac:dyDescent="0.3">
      <c r="B95" s="2"/>
      <c r="C95" s="2"/>
      <c r="D95" s="2"/>
      <c r="E95" s="13">
        <f>(180-ABS(E93))+180</f>
        <v>185</v>
      </c>
      <c r="F95" s="13"/>
      <c r="G95" s="11"/>
      <c r="H95" s="11"/>
      <c r="L95" s="3"/>
      <c r="M95" s="2"/>
      <c r="N95" s="2"/>
      <c r="O95" s="2"/>
      <c r="P95" s="2"/>
    </row>
    <row r="96" spans="1:16" x14ac:dyDescent="0.3">
      <c r="A96" s="2"/>
      <c r="B96" s="2"/>
      <c r="C96" s="2"/>
      <c r="D96" s="2" t="s">
        <v>254</v>
      </c>
      <c r="E96" s="2"/>
      <c r="F96" s="2"/>
      <c r="G96" s="2"/>
      <c r="H96" s="2"/>
      <c r="N96" s="2"/>
      <c r="O96" s="2"/>
      <c r="P96" s="2"/>
    </row>
    <row r="97" spans="1:24" x14ac:dyDescent="0.3">
      <c r="A97" s="2"/>
      <c r="B97" s="2"/>
      <c r="C97" s="2"/>
      <c r="D97" s="71">
        <f>M104-M93</f>
        <v>49.777777777777828</v>
      </c>
      <c r="E97" s="2"/>
      <c r="F97" s="2"/>
      <c r="G97" s="2"/>
      <c r="H97" s="2"/>
      <c r="L97" s="3"/>
      <c r="M97" s="2"/>
      <c r="N97" s="2"/>
      <c r="O97" s="2"/>
      <c r="P97" s="2"/>
    </row>
    <row r="98" spans="1:24" ht="24.6" x14ac:dyDescent="0.3">
      <c r="A98" s="64" t="s">
        <v>249</v>
      </c>
      <c r="B98" s="65" t="s">
        <v>18</v>
      </c>
      <c r="C98" s="65" t="s">
        <v>19</v>
      </c>
      <c r="D98" s="66"/>
      <c r="E98" s="67" t="s">
        <v>238</v>
      </c>
      <c r="F98" s="68"/>
      <c r="G98" s="68"/>
      <c r="H98" s="68" t="s">
        <v>239</v>
      </c>
      <c r="I98" s="67" t="s">
        <v>24</v>
      </c>
      <c r="J98" s="68" t="s">
        <v>25</v>
      </c>
      <c r="K98" s="68" t="s">
        <v>26</v>
      </c>
      <c r="L98" s="68" t="s">
        <v>27</v>
      </c>
      <c r="M98" s="69" t="s">
        <v>259</v>
      </c>
      <c r="N98" s="69" t="s">
        <v>258</v>
      </c>
    </row>
    <row r="99" spans="1:24" x14ac:dyDescent="0.3">
      <c r="A99" t="s">
        <v>251</v>
      </c>
      <c r="B99" s="2">
        <v>0.703125</v>
      </c>
      <c r="C99" s="2">
        <v>0.703125</v>
      </c>
      <c r="D99" s="2"/>
      <c r="E99" s="2">
        <v>-175</v>
      </c>
      <c r="F99" s="2"/>
      <c r="G99" s="2"/>
      <c r="H99" s="2">
        <v>28</v>
      </c>
      <c r="I99" s="12">
        <v>89.5</v>
      </c>
      <c r="J99" s="2">
        <v>-89.5</v>
      </c>
      <c r="K99" s="2">
        <v>0</v>
      </c>
      <c r="L99" s="2">
        <v>359</v>
      </c>
      <c r="M99" s="32">
        <f>E101/B99</f>
        <v>263.11111111111109</v>
      </c>
      <c r="N99" s="33">
        <f>$M$5-(I99-H99)/C99</f>
        <v>168.53333333333333</v>
      </c>
    </row>
    <row r="100" spans="1:24" x14ac:dyDescent="0.3">
      <c r="B100" s="2"/>
      <c r="C100" s="2"/>
      <c r="D100" s="2"/>
      <c r="E100" s="13" t="s">
        <v>50</v>
      </c>
      <c r="F100" s="13"/>
      <c r="G100" s="11"/>
      <c r="H100" s="11"/>
      <c r="L100" s="3"/>
      <c r="M100" s="2"/>
      <c r="N100" s="2"/>
    </row>
    <row r="101" spans="1:24" x14ac:dyDescent="0.3">
      <c r="B101" s="2"/>
      <c r="C101" s="2"/>
      <c r="D101" s="2"/>
      <c r="E101" s="13">
        <f>(180-ABS(E99))+180</f>
        <v>185</v>
      </c>
      <c r="F101" s="13"/>
      <c r="G101" s="11"/>
      <c r="H101" s="11"/>
      <c r="L101" s="3"/>
      <c r="M101" s="2"/>
      <c r="N101" s="2"/>
    </row>
    <row r="102" spans="1:24" x14ac:dyDescent="0.3">
      <c r="A102" s="2"/>
      <c r="B102" s="2"/>
      <c r="C102" s="2"/>
      <c r="D102" s="2"/>
      <c r="E102" s="2"/>
      <c r="F102" s="2"/>
      <c r="G102" s="2"/>
      <c r="H102" s="2"/>
      <c r="L102" s="3"/>
      <c r="M102" s="2"/>
      <c r="N102" s="2"/>
    </row>
    <row r="103" spans="1:24" ht="41.4" x14ac:dyDescent="0.3">
      <c r="A103" s="64" t="s">
        <v>249</v>
      </c>
      <c r="B103" s="65" t="s">
        <v>18</v>
      </c>
      <c r="C103" s="65" t="s">
        <v>19</v>
      </c>
      <c r="D103" s="66"/>
      <c r="E103" s="67" t="s">
        <v>238</v>
      </c>
      <c r="F103" s="68"/>
      <c r="G103" s="68"/>
      <c r="H103" s="68" t="s">
        <v>239</v>
      </c>
      <c r="I103" s="67" t="s">
        <v>24</v>
      </c>
      <c r="J103" s="68" t="s">
        <v>25</v>
      </c>
      <c r="K103" s="68" t="s">
        <v>26</v>
      </c>
      <c r="L103" s="68" t="s">
        <v>27</v>
      </c>
      <c r="M103" s="69" t="s">
        <v>259</v>
      </c>
      <c r="N103" s="69" t="s">
        <v>258</v>
      </c>
      <c r="O103" s="2"/>
      <c r="P103" s="2"/>
      <c r="S103" s="8" t="s">
        <v>204</v>
      </c>
      <c r="T103" s="8" t="s">
        <v>197</v>
      </c>
      <c r="U103" s="8" t="s">
        <v>198</v>
      </c>
      <c r="V103" s="60" t="s">
        <v>200</v>
      </c>
      <c r="W103" s="60" t="s">
        <v>201</v>
      </c>
      <c r="X103" s="61" t="s">
        <v>205</v>
      </c>
    </row>
    <row r="104" spans="1:24" x14ac:dyDescent="0.3">
      <c r="A104" t="s">
        <v>252</v>
      </c>
      <c r="B104" s="2">
        <v>0.703125</v>
      </c>
      <c r="C104" s="2">
        <v>0.703125</v>
      </c>
      <c r="D104" s="2"/>
      <c r="E104" s="2">
        <v>-140</v>
      </c>
      <c r="F104" s="2"/>
      <c r="G104" s="2"/>
      <c r="H104" s="2">
        <v>28</v>
      </c>
      <c r="I104" s="12">
        <v>89.5</v>
      </c>
      <c r="J104" s="2">
        <v>-89.5</v>
      </c>
      <c r="K104" s="2">
        <v>0</v>
      </c>
      <c r="L104" s="2">
        <v>359</v>
      </c>
      <c r="M104" s="32">
        <f>E106/B104</f>
        <v>312.88888888888891</v>
      </c>
      <c r="N104" s="33">
        <f>$M$5-(I104-H104)/C104</f>
        <v>168.53333333333333</v>
      </c>
      <c r="O104" s="2"/>
      <c r="P104" s="2"/>
      <c r="S104" t="s">
        <v>202</v>
      </c>
      <c r="T104" s="11">
        <v>40070</v>
      </c>
      <c r="U104" s="59">
        <f>T104*1000</f>
        <v>40070000</v>
      </c>
      <c r="V104" s="17" t="e">
        <f>T104/#REF!</f>
        <v>#REF!</v>
      </c>
      <c r="W104" s="17" t="e">
        <f>V104*B132</f>
        <v>#REF!</v>
      </c>
      <c r="X104" s="17"/>
    </row>
    <row r="105" spans="1:24" x14ac:dyDescent="0.3">
      <c r="B105" s="2"/>
      <c r="C105" s="2"/>
      <c r="D105" s="2"/>
      <c r="E105" s="13" t="s">
        <v>50</v>
      </c>
      <c r="F105" s="13"/>
      <c r="G105" s="11"/>
      <c r="H105" s="11"/>
      <c r="L105" s="3"/>
      <c r="M105" s="2"/>
      <c r="N105" s="2"/>
      <c r="O105" s="2"/>
      <c r="P105" s="2"/>
      <c r="S105" t="s">
        <v>203</v>
      </c>
      <c r="T105" s="11">
        <v>39931</v>
      </c>
      <c r="U105" s="59">
        <f>T105*1000</f>
        <v>39931000</v>
      </c>
      <c r="V105" s="17" t="e">
        <f>T105/#REF!</f>
        <v>#REF!</v>
      </c>
      <c r="W105" s="17"/>
      <c r="X105" s="17" t="e">
        <f>V105*C132</f>
        <v>#REF!</v>
      </c>
    </row>
    <row r="106" spans="1:24" x14ac:dyDescent="0.3">
      <c r="B106" s="2"/>
      <c r="C106" s="2"/>
      <c r="D106" s="2"/>
      <c r="E106" s="13">
        <f>(180-ABS(E104))+180</f>
        <v>220</v>
      </c>
      <c r="F106" s="13"/>
      <c r="G106" s="11"/>
      <c r="H106" s="11"/>
      <c r="L106" s="3"/>
      <c r="M106" s="2"/>
      <c r="N106" s="2"/>
      <c r="O106" s="2"/>
      <c r="P106" s="2"/>
    </row>
    <row r="107" spans="1:24" x14ac:dyDescent="0.3">
      <c r="A107" s="2"/>
      <c r="B107" s="2"/>
      <c r="C107" s="2"/>
      <c r="D107" s="2" t="s">
        <v>255</v>
      </c>
      <c r="E107" s="2"/>
      <c r="F107" s="2"/>
      <c r="G107" s="2"/>
      <c r="H107" s="2"/>
      <c r="L107" s="3"/>
      <c r="M107" s="2"/>
      <c r="N107" s="2"/>
      <c r="O107" s="2"/>
      <c r="P107" s="2"/>
    </row>
    <row r="108" spans="1:24" x14ac:dyDescent="0.3">
      <c r="A108" s="2"/>
      <c r="B108" s="2"/>
      <c r="C108" s="2"/>
      <c r="D108" s="71">
        <f>N99-N93</f>
        <v>21.333333333333343</v>
      </c>
      <c r="E108" s="2"/>
      <c r="F108" s="2"/>
      <c r="G108" s="2"/>
      <c r="H108" s="2"/>
      <c r="L108" s="3"/>
      <c r="M108" s="2"/>
      <c r="N108" s="2"/>
      <c r="O108" s="2"/>
      <c r="P108" s="2"/>
    </row>
    <row r="109" spans="1:24" ht="41.4" x14ac:dyDescent="0.3">
      <c r="A109" s="64" t="s">
        <v>249</v>
      </c>
      <c r="B109" s="65" t="s">
        <v>18</v>
      </c>
      <c r="C109" s="65" t="s">
        <v>19</v>
      </c>
      <c r="D109" s="66"/>
      <c r="E109" s="67" t="s">
        <v>238</v>
      </c>
      <c r="F109" s="68"/>
      <c r="G109" s="68"/>
      <c r="H109" s="68" t="s">
        <v>239</v>
      </c>
      <c r="I109" s="67" t="s">
        <v>24</v>
      </c>
      <c r="J109" s="68" t="s">
        <v>25</v>
      </c>
      <c r="K109" s="68" t="s">
        <v>26</v>
      </c>
      <c r="L109" s="68" t="s">
        <v>27</v>
      </c>
      <c r="M109" s="69" t="s">
        <v>259</v>
      </c>
      <c r="N109" s="69" t="s">
        <v>258</v>
      </c>
      <c r="O109" s="2"/>
      <c r="P109" s="2"/>
      <c r="S109" s="8" t="s">
        <v>204</v>
      </c>
      <c r="T109" s="8" t="s">
        <v>197</v>
      </c>
      <c r="U109" s="8" t="s">
        <v>198</v>
      </c>
      <c r="V109" s="60" t="s">
        <v>200</v>
      </c>
      <c r="W109" s="60" t="s">
        <v>201</v>
      </c>
      <c r="X109" s="61" t="s">
        <v>205</v>
      </c>
    </row>
    <row r="110" spans="1:24" x14ac:dyDescent="0.3">
      <c r="A110" t="s">
        <v>253</v>
      </c>
      <c r="B110" s="2">
        <v>0.703125</v>
      </c>
      <c r="C110" s="2">
        <v>0.703125</v>
      </c>
      <c r="D110" s="2"/>
      <c r="E110" s="2">
        <v>-140</v>
      </c>
      <c r="F110" s="2"/>
      <c r="G110" s="2"/>
      <c r="H110" s="2">
        <v>13</v>
      </c>
      <c r="I110" s="12">
        <v>89.5</v>
      </c>
      <c r="J110" s="2">
        <v>-89.5</v>
      </c>
      <c r="K110" s="2">
        <v>0</v>
      </c>
      <c r="L110" s="2">
        <v>359</v>
      </c>
      <c r="M110" s="32">
        <f>E112/B110</f>
        <v>312.88888888888891</v>
      </c>
      <c r="N110" s="33">
        <f>$M$5-(I110-H110)/C110</f>
        <v>147.19999999999999</v>
      </c>
      <c r="O110" s="2"/>
      <c r="P110" s="2"/>
      <c r="S110" t="s">
        <v>202</v>
      </c>
      <c r="T110" s="11">
        <v>40070</v>
      </c>
      <c r="U110" s="59">
        <f>T110*1000</f>
        <v>40070000</v>
      </c>
      <c r="V110" s="17">
        <f>T110/T2</f>
        <v>111.30555555555556</v>
      </c>
      <c r="W110" s="17">
        <f>V110*B138</f>
        <v>78.26171875</v>
      </c>
      <c r="X110" s="17"/>
    </row>
    <row r="111" spans="1:24" x14ac:dyDescent="0.3">
      <c r="B111" s="2"/>
      <c r="C111" s="2"/>
      <c r="D111" s="2"/>
      <c r="E111" s="13" t="s">
        <v>50</v>
      </c>
      <c r="F111" s="13"/>
      <c r="G111" s="11"/>
      <c r="H111" s="11"/>
      <c r="L111" s="3"/>
      <c r="M111" s="2"/>
      <c r="N111" s="2"/>
      <c r="O111" s="2"/>
      <c r="P111" s="2"/>
      <c r="S111" t="s">
        <v>203</v>
      </c>
      <c r="T111" s="11">
        <v>39931</v>
      </c>
      <c r="U111" s="59">
        <f>T111*1000</f>
        <v>39931000</v>
      </c>
      <c r="V111" s="17">
        <f>T111/T3</f>
        <v>221.8388888888889</v>
      </c>
      <c r="W111" s="17"/>
      <c r="X111" s="17">
        <f>V111*C138</f>
        <v>155.98046875</v>
      </c>
    </row>
    <row r="112" spans="1:24" x14ac:dyDescent="0.3">
      <c r="B112" s="2"/>
      <c r="C112" s="2"/>
      <c r="D112" s="2"/>
      <c r="E112" s="13">
        <f>(180-ABS(E110))+180</f>
        <v>220</v>
      </c>
      <c r="F112" s="13"/>
      <c r="G112" s="11"/>
      <c r="H112" s="11"/>
      <c r="L112" s="3"/>
      <c r="M112" s="2"/>
      <c r="N112" s="2"/>
      <c r="O112" s="2"/>
      <c r="P112" s="2"/>
    </row>
    <row r="113" spans="1:19" x14ac:dyDescent="0.3">
      <c r="A113" s="2"/>
      <c r="B113" s="2"/>
      <c r="C113" s="2"/>
      <c r="D113" s="2"/>
      <c r="E113" s="2"/>
      <c r="F113" s="2"/>
      <c r="G113" s="2"/>
      <c r="H113" s="2"/>
      <c r="L113" s="3"/>
      <c r="M113" s="2"/>
      <c r="N113" s="2"/>
      <c r="O113" s="2"/>
      <c r="P113" s="2"/>
    </row>
    <row r="114" spans="1:19" ht="55.2" x14ac:dyDescent="0.3">
      <c r="A114" s="64" t="s">
        <v>174</v>
      </c>
      <c r="B114" s="65" t="s">
        <v>18</v>
      </c>
      <c r="C114" s="65" t="s">
        <v>19</v>
      </c>
      <c r="D114" s="66"/>
      <c r="E114" s="67" t="s">
        <v>238</v>
      </c>
      <c r="F114" s="68"/>
      <c r="G114" s="68"/>
      <c r="H114" s="68" t="s">
        <v>239</v>
      </c>
      <c r="I114" s="67" t="s">
        <v>24</v>
      </c>
      <c r="J114" s="68" t="s">
        <v>25</v>
      </c>
      <c r="K114" s="68" t="s">
        <v>26</v>
      </c>
      <c r="L114" s="68" t="s">
        <v>27</v>
      </c>
      <c r="M114" s="69" t="s">
        <v>259</v>
      </c>
      <c r="N114" s="69" t="s">
        <v>258</v>
      </c>
      <c r="O114" s="8" t="s">
        <v>213</v>
      </c>
      <c r="P114" s="8" t="s">
        <v>214</v>
      </c>
      <c r="R114" s="46" t="s">
        <v>132</v>
      </c>
      <c r="S114" s="46" t="s">
        <v>133</v>
      </c>
    </row>
    <row r="115" spans="1:19" x14ac:dyDescent="0.3">
      <c r="A115" t="s">
        <v>253</v>
      </c>
      <c r="B115" s="2">
        <v>0.703125</v>
      </c>
      <c r="C115" s="2">
        <v>0.703125</v>
      </c>
      <c r="D115" s="2"/>
      <c r="E115" s="2">
        <v>-149.61398399999999</v>
      </c>
      <c r="F115" s="2"/>
      <c r="G115" s="2"/>
      <c r="H115" s="2">
        <v>-17.545569</v>
      </c>
      <c r="I115" s="12">
        <v>89.5</v>
      </c>
      <c r="J115" s="2">
        <v>-89.5</v>
      </c>
      <c r="K115" s="2">
        <v>0</v>
      </c>
      <c r="L115" s="2">
        <v>359</v>
      </c>
      <c r="M115" s="32">
        <f>E117/B115</f>
        <v>299.21566720000004</v>
      </c>
      <c r="N115" s="33">
        <f>$M$5-(I115-H115)/C115</f>
        <v>103.75741297777779</v>
      </c>
      <c r="O115" s="14"/>
      <c r="P115" s="14"/>
      <c r="R115">
        <f>(F143-E143)/2+E143</f>
        <v>-105.5</v>
      </c>
      <c r="S115">
        <f>(H143-G143)/2+G143</f>
        <v>39</v>
      </c>
    </row>
    <row r="116" spans="1:19" ht="30.75" customHeight="1" x14ac:dyDescent="0.3">
      <c r="B116" s="2"/>
      <c r="C116" s="2"/>
      <c r="D116" s="2"/>
      <c r="E116" s="13" t="s">
        <v>50</v>
      </c>
      <c r="F116" s="13"/>
      <c r="G116" s="11"/>
      <c r="H116" s="11"/>
      <c r="L116" s="3"/>
      <c r="M116" s="2"/>
      <c r="N116" s="2"/>
      <c r="O116" s="20"/>
      <c r="P116" s="20"/>
      <c r="R116" t="s">
        <v>134</v>
      </c>
    </row>
    <row r="117" spans="1:19" x14ac:dyDescent="0.3">
      <c r="B117" s="2"/>
      <c r="C117" s="2"/>
      <c r="D117" s="2"/>
      <c r="E117" s="13">
        <f>(180-ABS(E115))+180</f>
        <v>210.38601600000001</v>
      </c>
      <c r="F117" s="13"/>
      <c r="G117" s="11"/>
      <c r="H117" s="11"/>
      <c r="L117" s="3"/>
      <c r="M117" s="2"/>
      <c r="N117" s="2"/>
      <c r="O117" s="20"/>
      <c r="P117" s="20"/>
      <c r="R117">
        <f>(F145-E145)/2+E145</f>
        <v>254.5</v>
      </c>
      <c r="S117">
        <f>(H145-G145)/2+G145</f>
        <v>35.5</v>
      </c>
    </row>
    <row r="118" spans="1:19" x14ac:dyDescent="0.3">
      <c r="A118" s="2"/>
      <c r="B118" s="2"/>
      <c r="C118" s="2"/>
      <c r="D118" s="2"/>
      <c r="E118" s="2"/>
      <c r="F118" s="2"/>
      <c r="G118" s="2"/>
      <c r="H118" s="2"/>
      <c r="L118" s="3"/>
      <c r="M118" s="2"/>
      <c r="N118" s="2"/>
      <c r="O118" s="20">
        <f>256-(I143-H143)/C143</f>
        <v>187.02222222222224</v>
      </c>
      <c r="P118" s="20">
        <f>O126-H157</f>
        <v>181.33333333333334</v>
      </c>
    </row>
    <row r="119" spans="1:19" x14ac:dyDescent="0.3">
      <c r="A119" s="2"/>
      <c r="B119" s="2"/>
      <c r="C119" s="2"/>
      <c r="D119" s="2"/>
      <c r="E119" s="2"/>
      <c r="F119" s="2"/>
      <c r="G119" s="2"/>
      <c r="H119" s="2"/>
      <c r="L119" s="3"/>
      <c r="M119" s="2"/>
      <c r="N119" s="2"/>
      <c r="O119" s="20"/>
      <c r="P119" s="20"/>
    </row>
    <row r="120" spans="1:19" x14ac:dyDescent="0.3">
      <c r="A120" s="2"/>
      <c r="B120" s="2"/>
      <c r="C120" s="2"/>
      <c r="D120" s="2"/>
      <c r="E120" s="2"/>
      <c r="F120" s="2"/>
      <c r="G120" s="2"/>
      <c r="H120" s="2"/>
      <c r="L120" s="3"/>
      <c r="M120" s="2"/>
      <c r="N120" s="2"/>
      <c r="O120" s="20"/>
      <c r="P120" s="20"/>
    </row>
    <row r="121" spans="1:19" ht="24.6" x14ac:dyDescent="0.3">
      <c r="A121" s="64" t="s">
        <v>235</v>
      </c>
      <c r="B121" s="65" t="s">
        <v>18</v>
      </c>
      <c r="C121" s="65" t="s">
        <v>19</v>
      </c>
      <c r="D121" s="66"/>
      <c r="E121" s="67" t="s">
        <v>238</v>
      </c>
      <c r="F121" s="68"/>
      <c r="G121" s="68"/>
      <c r="H121" s="68" t="s">
        <v>239</v>
      </c>
      <c r="I121" s="67" t="s">
        <v>24</v>
      </c>
      <c r="J121" s="68" t="s">
        <v>25</v>
      </c>
      <c r="K121" s="68" t="s">
        <v>26</v>
      </c>
      <c r="L121" s="68" t="s">
        <v>27</v>
      </c>
      <c r="M121" s="69" t="s">
        <v>236</v>
      </c>
      <c r="N121" s="69" t="s">
        <v>237</v>
      </c>
      <c r="O121" s="20"/>
      <c r="P121" s="20"/>
    </row>
    <row r="122" spans="1:19" x14ac:dyDescent="0.3">
      <c r="B122" s="2">
        <v>0.703125</v>
      </c>
      <c r="C122" s="2">
        <v>0.703125</v>
      </c>
      <c r="D122" s="2"/>
      <c r="E122" s="2">
        <v>30.2</v>
      </c>
      <c r="F122" s="2"/>
      <c r="G122" s="2"/>
      <c r="H122" s="2">
        <v>0.33</v>
      </c>
      <c r="I122" s="12">
        <v>89.5</v>
      </c>
      <c r="J122" s="2">
        <v>-89.5</v>
      </c>
      <c r="K122" s="2">
        <v>0</v>
      </c>
      <c r="L122" s="2">
        <v>359</v>
      </c>
      <c r="M122" s="32">
        <f>E122/B122</f>
        <v>42.951111111111111</v>
      </c>
      <c r="N122" s="33">
        <f>$M$5-(I122-H122)/C122</f>
        <v>129.18044444444445</v>
      </c>
      <c r="O122" s="20"/>
      <c r="P122" s="20"/>
    </row>
    <row r="123" spans="1:19" x14ac:dyDescent="0.3">
      <c r="B123" s="2"/>
      <c r="C123" s="2"/>
      <c r="D123" s="2"/>
      <c r="E123" s="13" t="s">
        <v>50</v>
      </c>
      <c r="F123" s="13"/>
      <c r="G123" s="11"/>
      <c r="H123" s="11"/>
      <c r="L123" s="3"/>
      <c r="M123" s="2"/>
      <c r="N123" s="2"/>
      <c r="O123" s="20"/>
      <c r="P123" s="20"/>
    </row>
    <row r="124" spans="1:19" x14ac:dyDescent="0.3">
      <c r="B124" s="2"/>
      <c r="C124" s="2"/>
      <c r="D124" s="2"/>
      <c r="E124" s="13">
        <f>(180-ABS(E122))+180</f>
        <v>329.8</v>
      </c>
      <c r="F124" s="13"/>
      <c r="G124" s="11"/>
      <c r="H124" s="11"/>
      <c r="L124" s="3"/>
      <c r="M124" s="2"/>
      <c r="N124" s="2"/>
      <c r="O124" s="20"/>
      <c r="P124" s="20"/>
    </row>
    <row r="125" spans="1:19" x14ac:dyDescent="0.3">
      <c r="A125" s="2"/>
      <c r="B125" s="2"/>
      <c r="C125" s="2"/>
      <c r="D125" s="2"/>
      <c r="E125" s="2"/>
      <c r="F125" s="2"/>
      <c r="G125" s="2"/>
      <c r="H125" s="2"/>
      <c r="N125" s="2"/>
      <c r="O125" s="20"/>
      <c r="P125" s="20"/>
    </row>
    <row r="126" spans="1:19" ht="15" thickBot="1" x14ac:dyDescent="0.35">
      <c r="O126" s="6">
        <f>256-(I143-H143)/C143</f>
        <v>187.02222222222224</v>
      </c>
      <c r="P126" s="18">
        <f>O126-H157</f>
        <v>181.33333333333334</v>
      </c>
    </row>
    <row r="127" spans="1:19" ht="15" thickBot="1" x14ac:dyDescent="0.35">
      <c r="O127" s="48" t="s">
        <v>40</v>
      </c>
      <c r="P127" s="47">
        <f>((P126-O126)/2)+O126</f>
        <v>184.17777777777781</v>
      </c>
    </row>
    <row r="130" spans="1:19" x14ac:dyDescent="0.3">
      <c r="O130" s="49"/>
      <c r="P130" s="62"/>
      <c r="Q130" s="15"/>
    </row>
    <row r="131" spans="1:19" ht="72.599999999999994" x14ac:dyDescent="0.3">
      <c r="A131" s="64" t="s">
        <v>220</v>
      </c>
      <c r="B131" s="65" t="s">
        <v>18</v>
      </c>
      <c r="C131" s="65" t="s">
        <v>19</v>
      </c>
      <c r="D131" s="66"/>
      <c r="E131" s="67" t="s">
        <v>221</v>
      </c>
      <c r="F131" s="68"/>
      <c r="G131" s="68"/>
      <c r="H131" s="68" t="s">
        <v>222</v>
      </c>
      <c r="I131" s="67" t="s">
        <v>24</v>
      </c>
      <c r="J131" s="68" t="s">
        <v>25</v>
      </c>
      <c r="K131" s="68" t="s">
        <v>26</v>
      </c>
      <c r="L131" s="68" t="s">
        <v>27</v>
      </c>
      <c r="M131" s="69" t="s">
        <v>223</v>
      </c>
      <c r="N131" s="69" t="s">
        <v>224</v>
      </c>
      <c r="O131" s="8" t="s">
        <v>30</v>
      </c>
      <c r="P131" s="8" t="s">
        <v>31</v>
      </c>
      <c r="Q131" s="10"/>
      <c r="R131" s="46" t="s">
        <v>132</v>
      </c>
      <c r="S131" s="46" t="s">
        <v>133</v>
      </c>
    </row>
    <row r="132" spans="1:19" x14ac:dyDescent="0.3">
      <c r="B132" s="2">
        <v>0.703125</v>
      </c>
      <c r="C132" s="2">
        <v>0.703125</v>
      </c>
      <c r="D132" s="2"/>
      <c r="E132" s="2">
        <v>-105.27</v>
      </c>
      <c r="F132" s="2"/>
      <c r="G132" s="2"/>
      <c r="H132" s="2">
        <v>38.433900000000001</v>
      </c>
      <c r="I132" s="12">
        <v>89.5</v>
      </c>
      <c r="J132" s="2">
        <v>-89.5</v>
      </c>
      <c r="K132" s="2">
        <v>0</v>
      </c>
      <c r="L132" s="2">
        <v>359</v>
      </c>
      <c r="M132" s="32">
        <f>E134/B132</f>
        <v>362.28266666666667</v>
      </c>
      <c r="N132" s="33">
        <f>$M$5-(I132-H132)/C132</f>
        <v>183.37265777777776</v>
      </c>
      <c r="O132" s="14"/>
      <c r="P132" s="14"/>
      <c r="Q132" s="15"/>
      <c r="R132">
        <f>(F160-E160)/2+E160</f>
        <v>157.5</v>
      </c>
      <c r="S132">
        <f>(H160-G160)/2+G160</f>
        <v>0</v>
      </c>
    </row>
    <row r="133" spans="1:19" ht="30.75" customHeight="1" x14ac:dyDescent="0.3">
      <c r="B133" s="2"/>
      <c r="C133" s="2"/>
      <c r="D133" s="2"/>
      <c r="E133" s="13" t="s">
        <v>50</v>
      </c>
      <c r="F133" s="13"/>
      <c r="G133" s="11"/>
      <c r="H133" s="11"/>
      <c r="L133" s="3"/>
      <c r="M133" s="2"/>
      <c r="N133" s="2"/>
      <c r="Q133" s="15"/>
    </row>
    <row r="134" spans="1:19" x14ac:dyDescent="0.3">
      <c r="B134" s="2"/>
      <c r="C134" s="2"/>
      <c r="D134" s="2"/>
      <c r="E134" s="13">
        <f>(180-ABS(E132))+180</f>
        <v>254.73000000000002</v>
      </c>
      <c r="F134" s="13"/>
      <c r="G134" s="11"/>
      <c r="H134" s="11"/>
      <c r="L134" s="3"/>
      <c r="M134" s="2"/>
      <c r="N134" s="2"/>
      <c r="Q134" s="15"/>
    </row>
    <row r="135" spans="1:19" x14ac:dyDescent="0.3">
      <c r="A135" s="2"/>
      <c r="B135" s="2"/>
      <c r="C135" s="2"/>
      <c r="D135" s="2"/>
      <c r="E135" s="2"/>
      <c r="F135" s="2"/>
      <c r="G135" s="2"/>
      <c r="H135" s="2"/>
      <c r="N135" s="2"/>
      <c r="Q135" s="15"/>
    </row>
    <row r="136" spans="1:19" x14ac:dyDescent="0.3">
      <c r="B136" s="2"/>
      <c r="C136" s="2"/>
      <c r="D136" s="2"/>
      <c r="E136" s="2"/>
      <c r="F136" s="2"/>
      <c r="G136" s="2"/>
      <c r="H136" s="2"/>
      <c r="N136" s="2"/>
      <c r="O136" s="18">
        <f>$M$5-(I160-H160)/C160</f>
        <v>135.82222222222222</v>
      </c>
      <c r="P136" s="18">
        <f>O136-H164</f>
        <v>121.6</v>
      </c>
      <c r="Q136" s="15"/>
    </row>
    <row r="137" spans="1:19" ht="55.2" x14ac:dyDescent="0.3">
      <c r="A137" s="25" t="s">
        <v>193</v>
      </c>
      <c r="B137" s="8" t="s">
        <v>18</v>
      </c>
      <c r="C137" s="8" t="s">
        <v>19</v>
      </c>
      <c r="D137" s="15"/>
      <c r="E137" s="28" t="s">
        <v>194</v>
      </c>
      <c r="F137" s="27"/>
      <c r="G137" s="27"/>
      <c r="H137" s="27" t="s">
        <v>195</v>
      </c>
      <c r="I137" s="28" t="s">
        <v>24</v>
      </c>
      <c r="J137" s="27" t="s">
        <v>25</v>
      </c>
      <c r="K137" s="27" t="s">
        <v>26</v>
      </c>
      <c r="L137" s="27" t="s">
        <v>27</v>
      </c>
      <c r="M137" s="30" t="s">
        <v>215</v>
      </c>
      <c r="N137" s="30" t="s">
        <v>196</v>
      </c>
      <c r="O137" s="15" t="s">
        <v>40</v>
      </c>
      <c r="P137" s="18">
        <f>((P136-O136)/2)+O136</f>
        <v>128.71111111111111</v>
      </c>
      <c r="Q137" s="15"/>
    </row>
    <row r="138" spans="1:19" x14ac:dyDescent="0.3">
      <c r="B138" s="2">
        <v>0.703125</v>
      </c>
      <c r="C138" s="2">
        <v>0.703125</v>
      </c>
      <c r="D138" s="2"/>
      <c r="E138" s="2">
        <v>-105.27</v>
      </c>
      <c r="F138" s="2"/>
      <c r="G138" s="2"/>
      <c r="H138" s="2">
        <v>40.014000000000003</v>
      </c>
      <c r="I138" s="12">
        <v>89.5</v>
      </c>
      <c r="J138" s="2">
        <v>-89.5</v>
      </c>
      <c r="K138" s="2">
        <v>0</v>
      </c>
      <c r="L138" s="2">
        <v>359</v>
      </c>
      <c r="M138" s="32">
        <f>E140/B138</f>
        <v>362.28266666666667</v>
      </c>
      <c r="N138" s="33">
        <f>$M$5-(I138-H138)/C138</f>
        <v>185.61991111111112</v>
      </c>
      <c r="O138" s="34"/>
      <c r="Q138" s="15"/>
    </row>
    <row r="139" spans="1:19" x14ac:dyDescent="0.3">
      <c r="B139" s="2"/>
      <c r="C139" s="2"/>
      <c r="D139" s="2"/>
      <c r="E139" s="13" t="s">
        <v>50</v>
      </c>
      <c r="F139" s="13"/>
      <c r="G139" s="11"/>
      <c r="H139" s="11"/>
      <c r="L139" s="3"/>
      <c r="M139" s="2"/>
      <c r="N139" s="2"/>
      <c r="O139" s="34"/>
      <c r="Q139" s="15"/>
    </row>
    <row r="140" spans="1:19" x14ac:dyDescent="0.3">
      <c r="B140" s="2"/>
      <c r="C140" s="2"/>
      <c r="D140" s="2"/>
      <c r="E140" s="13">
        <f>(180-ABS(E138))+180</f>
        <v>254.73000000000002</v>
      </c>
      <c r="F140" s="13"/>
      <c r="G140" s="11"/>
      <c r="H140" s="11"/>
      <c r="L140" s="3"/>
      <c r="M140" s="2"/>
      <c r="N140" s="2"/>
      <c r="O140" s="34"/>
      <c r="Q140" s="15"/>
    </row>
    <row r="141" spans="1:19" x14ac:dyDescent="0.3">
      <c r="B141" s="2"/>
      <c r="C141" s="2"/>
      <c r="D141" s="2"/>
      <c r="E141" s="13"/>
      <c r="F141" s="36"/>
      <c r="G141" s="11"/>
      <c r="H141" s="11"/>
      <c r="L141" s="3"/>
      <c r="M141" s="2"/>
      <c r="N141" s="2"/>
      <c r="O141" s="34"/>
      <c r="Q141" s="15"/>
    </row>
    <row r="142" spans="1:19" ht="55.2" x14ac:dyDescent="0.3">
      <c r="A142" s="25" t="s">
        <v>206</v>
      </c>
      <c r="B142" s="8" t="s">
        <v>18</v>
      </c>
      <c r="C142" s="8" t="s">
        <v>19</v>
      </c>
      <c r="D142" s="9"/>
      <c r="E142" s="9" t="s">
        <v>207</v>
      </c>
      <c r="F142" s="8" t="s">
        <v>208</v>
      </c>
      <c r="G142" s="8" t="s">
        <v>209</v>
      </c>
      <c r="H142" s="8" t="s">
        <v>210</v>
      </c>
      <c r="I142" s="9" t="s">
        <v>24</v>
      </c>
      <c r="J142" s="8" t="s">
        <v>25</v>
      </c>
      <c r="K142" s="8" t="s">
        <v>26</v>
      </c>
      <c r="L142" s="8" t="s">
        <v>27</v>
      </c>
      <c r="M142" s="9" t="s">
        <v>211</v>
      </c>
      <c r="N142" s="8" t="s">
        <v>212</v>
      </c>
      <c r="O142" s="34"/>
      <c r="Q142" s="15"/>
    </row>
    <row r="143" spans="1:19" ht="15" thickBot="1" x14ac:dyDescent="0.35">
      <c r="B143" s="2">
        <v>0.703125</v>
      </c>
      <c r="C143" s="2">
        <v>0.703125</v>
      </c>
      <c r="D143" s="12"/>
      <c r="E143" s="13">
        <v>-109</v>
      </c>
      <c r="F143" s="11">
        <v>-102</v>
      </c>
      <c r="G143" s="11">
        <v>37</v>
      </c>
      <c r="H143" s="11">
        <v>41</v>
      </c>
      <c r="I143" s="12">
        <v>89.5</v>
      </c>
      <c r="J143" s="2">
        <v>-89.5</v>
      </c>
      <c r="K143" s="2">
        <v>0</v>
      </c>
      <c r="L143" s="2">
        <v>359</v>
      </c>
      <c r="M143" s="32">
        <f>E145/B143</f>
        <v>356.97777777777776</v>
      </c>
      <c r="N143" s="33">
        <f>M143+F155</f>
        <v>363.97777777777776</v>
      </c>
      <c r="O143" s="34"/>
      <c r="Q143" s="15"/>
    </row>
    <row r="144" spans="1:19" ht="15" thickBot="1" x14ac:dyDescent="0.35">
      <c r="A144">
        <v>4</v>
      </c>
      <c r="B144" s="2">
        <f>4*B143</f>
        <v>2.8125</v>
      </c>
      <c r="C144" s="2">
        <f>C143*15</f>
        <v>10.546875</v>
      </c>
      <c r="D144" s="12"/>
      <c r="E144" s="13" t="s">
        <v>50</v>
      </c>
      <c r="F144" s="13" t="s">
        <v>50</v>
      </c>
      <c r="G144" s="11"/>
      <c r="H144" s="11"/>
      <c r="I144" s="12"/>
      <c r="J144" s="2"/>
      <c r="K144" s="2"/>
      <c r="L144" s="2"/>
      <c r="M144" s="48" t="s">
        <v>35</v>
      </c>
      <c r="N144" s="47">
        <f>((N143-M143)/2)+M143</f>
        <v>360.47777777777776</v>
      </c>
      <c r="Q144" s="15"/>
    </row>
    <row r="145" spans="1:19" x14ac:dyDescent="0.3">
      <c r="B145" s="71">
        <f>P118</f>
        <v>181.33333333333334</v>
      </c>
      <c r="C145" s="2"/>
      <c r="D145" s="12" t="s">
        <v>217</v>
      </c>
      <c r="E145" s="13">
        <f>(180-ABS(E143))+180</f>
        <v>251</v>
      </c>
      <c r="F145" s="13">
        <f>(180-ABS(F143))+180</f>
        <v>258</v>
      </c>
      <c r="G145" s="11">
        <v>33</v>
      </c>
      <c r="H145" s="11">
        <v>38</v>
      </c>
      <c r="I145" s="12"/>
      <c r="J145" s="2"/>
      <c r="K145" s="2"/>
      <c r="L145" s="2"/>
      <c r="M145" s="12"/>
      <c r="N145" s="2"/>
    </row>
    <row r="146" spans="1:19" x14ac:dyDescent="0.3">
      <c r="B146" s="2">
        <f>B145+B144</f>
        <v>184.14583333333334</v>
      </c>
      <c r="C146" s="2"/>
      <c r="D146" s="63">
        <f>P118+B144</f>
        <v>184.14583333333334</v>
      </c>
      <c r="E146" s="13"/>
      <c r="F146" s="11"/>
      <c r="G146" s="11"/>
      <c r="H146" s="11"/>
      <c r="I146" s="12"/>
      <c r="J146" s="2"/>
      <c r="K146" s="2"/>
      <c r="L146" s="2"/>
      <c r="M146" s="12"/>
      <c r="N146" s="2"/>
    </row>
    <row r="147" spans="1:19" x14ac:dyDescent="0.3">
      <c r="B147" s="2"/>
      <c r="C147" s="2"/>
      <c r="D147" s="12" t="s">
        <v>218</v>
      </c>
      <c r="E147" s="13"/>
      <c r="F147" s="11"/>
      <c r="G147" s="11"/>
      <c r="H147" s="11"/>
      <c r="I147" s="12"/>
      <c r="J147" s="2"/>
      <c r="K147" s="2"/>
      <c r="L147" s="2"/>
      <c r="M147" s="12"/>
      <c r="N147" s="2"/>
    </row>
    <row r="148" spans="1:19" x14ac:dyDescent="0.3">
      <c r="B148" s="2"/>
      <c r="C148" s="2"/>
      <c r="D148" s="12">
        <f>B150+B149</f>
        <v>361.97777777777776</v>
      </c>
      <c r="E148" s="13"/>
      <c r="F148" s="11"/>
      <c r="G148" s="11"/>
      <c r="H148" s="11"/>
      <c r="I148" s="12"/>
      <c r="J148" s="2"/>
      <c r="K148" s="2"/>
      <c r="L148" s="2"/>
      <c r="M148" s="12"/>
      <c r="N148" s="2"/>
    </row>
    <row r="149" spans="1:19" x14ac:dyDescent="0.3">
      <c r="A149" t="s">
        <v>219</v>
      </c>
      <c r="B149" s="2">
        <v>5</v>
      </c>
      <c r="C149" s="2"/>
      <c r="D149" s="12"/>
      <c r="E149" s="13"/>
      <c r="F149" s="11"/>
      <c r="G149" s="11"/>
      <c r="H149" s="11"/>
      <c r="I149" s="12"/>
      <c r="J149" s="2"/>
      <c r="K149" s="2"/>
      <c r="L149" s="2"/>
      <c r="M149" s="12"/>
      <c r="N149" s="2"/>
    </row>
    <row r="150" spans="1:19" x14ac:dyDescent="0.3">
      <c r="B150" s="71">
        <f>M143</f>
        <v>356.97777777777776</v>
      </c>
      <c r="C150" s="2"/>
      <c r="D150" s="12"/>
      <c r="E150" s="13"/>
      <c r="F150" s="11"/>
      <c r="G150" s="11"/>
      <c r="H150" s="11"/>
      <c r="I150" s="12"/>
      <c r="J150" s="2"/>
      <c r="K150" s="2"/>
      <c r="L150" s="2"/>
      <c r="M150" s="12" t="s">
        <v>216</v>
      </c>
      <c r="N150" s="2"/>
    </row>
    <row r="151" spans="1:19" ht="42" x14ac:dyDescent="0.3">
      <c r="B151" s="2"/>
      <c r="C151" s="2"/>
      <c r="D151" s="12">
        <f>B151*$B$143</f>
        <v>0</v>
      </c>
      <c r="E151" s="13"/>
      <c r="F151" s="11"/>
      <c r="G151" s="11"/>
      <c r="H151" s="11"/>
      <c r="I151" s="12"/>
      <c r="J151" s="2"/>
      <c r="K151" s="2"/>
      <c r="L151" s="2"/>
      <c r="M151" s="12"/>
      <c r="N151" s="2"/>
      <c r="O151" s="8" t="s">
        <v>48</v>
      </c>
      <c r="P151" s="8" t="s">
        <v>49</v>
      </c>
      <c r="R151" s="46" t="s">
        <v>132</v>
      </c>
      <c r="S151" s="46" t="s">
        <v>133</v>
      </c>
    </row>
    <row r="152" spans="1:19" x14ac:dyDescent="0.3">
      <c r="B152" s="2"/>
      <c r="C152" s="2"/>
      <c r="D152" s="12"/>
      <c r="E152" s="13"/>
      <c r="F152" s="11"/>
      <c r="G152" s="11"/>
      <c r="H152" s="11"/>
      <c r="I152" s="12"/>
      <c r="J152" s="2"/>
      <c r="K152" s="2"/>
      <c r="L152" s="2"/>
      <c r="M152" s="12"/>
      <c r="N152" s="2"/>
      <c r="O152" s="14"/>
      <c r="P152" s="14"/>
      <c r="R152">
        <f>(F180-E180)/2+E180</f>
        <v>-107.5</v>
      </c>
      <c r="S152">
        <f>(H180-G180)/2+G180</f>
        <v>35.5</v>
      </c>
    </row>
    <row r="153" spans="1:19" x14ac:dyDescent="0.3">
      <c r="B153" s="2"/>
      <c r="C153" s="2"/>
      <c r="D153" s="12"/>
      <c r="E153" s="13"/>
      <c r="F153" s="11"/>
      <c r="G153" s="11"/>
      <c r="H153" s="11"/>
      <c r="I153" s="12"/>
      <c r="J153" s="2"/>
      <c r="K153" s="2"/>
      <c r="L153" s="2"/>
      <c r="M153" s="12"/>
      <c r="N153" s="2"/>
      <c r="O153" s="20"/>
      <c r="P153" s="20"/>
      <c r="R153" t="s">
        <v>134</v>
      </c>
    </row>
    <row r="154" spans="1:19" ht="41.4" x14ac:dyDescent="0.3">
      <c r="B154" s="4" t="s">
        <v>32</v>
      </c>
      <c r="C154" s="4" t="s">
        <v>33</v>
      </c>
      <c r="D154" s="15"/>
      <c r="E154" s="15"/>
      <c r="F154" s="4" t="s">
        <v>34</v>
      </c>
      <c r="G154" s="4"/>
      <c r="H154" s="4" t="s">
        <v>34</v>
      </c>
      <c r="I154" s="12"/>
      <c r="J154" s="4" t="s">
        <v>34</v>
      </c>
      <c r="K154" s="4"/>
      <c r="L154" s="4" t="s">
        <v>34</v>
      </c>
      <c r="M154" s="15"/>
      <c r="O154" s="20"/>
      <c r="P154" s="20"/>
      <c r="R154">
        <f>(F182-E182)/2+E182</f>
        <v>252.5</v>
      </c>
      <c r="S154">
        <f>(H182-G182)/2+G182</f>
        <v>35.5</v>
      </c>
    </row>
    <row r="155" spans="1:19" x14ac:dyDescent="0.3">
      <c r="D155" s="15"/>
      <c r="E155" s="15"/>
      <c r="F155">
        <f>F143-E143</f>
        <v>7</v>
      </c>
      <c r="H155">
        <f>H143-G143</f>
        <v>4</v>
      </c>
      <c r="I155" s="12"/>
      <c r="J155">
        <f>J143-I143</f>
        <v>-179</v>
      </c>
      <c r="L155">
        <f>L143-K143</f>
        <v>359</v>
      </c>
      <c r="M155" s="15"/>
      <c r="O155" s="20"/>
      <c r="P155" s="20"/>
    </row>
    <row r="156" spans="1:19" ht="15" thickBot="1" x14ac:dyDescent="0.35">
      <c r="D156" s="15"/>
      <c r="E156" s="15"/>
      <c r="F156" s="4" t="s">
        <v>36</v>
      </c>
      <c r="G156" s="4"/>
      <c r="H156" s="4" t="s">
        <v>37</v>
      </c>
      <c r="I156" s="16"/>
      <c r="J156" s="4" t="s">
        <v>37</v>
      </c>
      <c r="K156" s="4"/>
      <c r="L156" s="4" t="s">
        <v>36</v>
      </c>
      <c r="O156" s="6">
        <f>256-(I180-H180)/C180</f>
        <v>182.75555555555556</v>
      </c>
      <c r="P156" s="18">
        <f>O156-H187</f>
        <v>175.64444444444445</v>
      </c>
    </row>
    <row r="157" spans="1:19" ht="15" thickBot="1" x14ac:dyDescent="0.35">
      <c r="D157" s="15"/>
      <c r="E157" s="15"/>
      <c r="F157">
        <f>F155/$B$160</f>
        <v>9.9555555555555557</v>
      </c>
      <c r="H157" s="17">
        <f>H155/$C$160</f>
        <v>5.6888888888888891</v>
      </c>
      <c r="I157" s="12"/>
      <c r="J157">
        <f>J155/$B$160</f>
        <v>-254.57777777777778</v>
      </c>
      <c r="L157" s="17">
        <f>L155/$C$160</f>
        <v>510.57777777777778</v>
      </c>
      <c r="O157" s="48" t="s">
        <v>40</v>
      </c>
      <c r="P157" s="47">
        <f>((P156-O156)/2)+O156</f>
        <v>179.2</v>
      </c>
    </row>
    <row r="158" spans="1:19" x14ac:dyDescent="0.3">
      <c r="D158" s="15"/>
      <c r="E158" s="15"/>
      <c r="I158" s="15"/>
      <c r="M158" s="15"/>
    </row>
    <row r="159" spans="1:19" ht="41.4" x14ac:dyDescent="0.3">
      <c r="A159" s="7" t="s">
        <v>17</v>
      </c>
      <c r="B159" s="8" t="s">
        <v>18</v>
      </c>
      <c r="C159" s="8" t="s">
        <v>19</v>
      </c>
      <c r="D159" s="9"/>
      <c r="E159" s="9" t="s">
        <v>20</v>
      </c>
      <c r="F159" s="8" t="s">
        <v>21</v>
      </c>
      <c r="G159" s="8" t="s">
        <v>22</v>
      </c>
      <c r="H159" s="8" t="s">
        <v>23</v>
      </c>
      <c r="I159" s="9" t="s">
        <v>24</v>
      </c>
      <c r="J159" s="8" t="s">
        <v>25</v>
      </c>
      <c r="K159" s="8" t="s">
        <v>26</v>
      </c>
      <c r="L159" s="8" t="s">
        <v>27</v>
      </c>
      <c r="M159" s="9" t="s">
        <v>28</v>
      </c>
      <c r="N159" s="8" t="s">
        <v>29</v>
      </c>
    </row>
    <row r="160" spans="1:19" x14ac:dyDescent="0.3">
      <c r="A160" s="2"/>
      <c r="B160" s="2">
        <v>0.703125</v>
      </c>
      <c r="C160" s="2">
        <v>0.703125</v>
      </c>
      <c r="D160" s="12"/>
      <c r="E160" s="13">
        <v>135</v>
      </c>
      <c r="F160" s="11">
        <v>180</v>
      </c>
      <c r="G160" s="11">
        <v>-5</v>
      </c>
      <c r="H160" s="11">
        <v>5</v>
      </c>
      <c r="I160" s="12">
        <v>89.5</v>
      </c>
      <c r="J160" s="2">
        <v>-89.5</v>
      </c>
      <c r="K160" s="2">
        <v>0</v>
      </c>
      <c r="L160" s="2">
        <v>359</v>
      </c>
      <c r="M160" s="12">
        <f>E160/B160</f>
        <v>192</v>
      </c>
      <c r="N160" s="2">
        <f>M160+F164</f>
        <v>256</v>
      </c>
    </row>
    <row r="161" spans="1:19" ht="41.4" x14ac:dyDescent="0.3">
      <c r="B161" s="4" t="s">
        <v>32</v>
      </c>
      <c r="C161" s="4" t="s">
        <v>33</v>
      </c>
      <c r="D161" s="15"/>
      <c r="E161" s="15"/>
      <c r="F161" s="4" t="s">
        <v>34</v>
      </c>
      <c r="G161" s="4"/>
      <c r="H161" s="4" t="s">
        <v>34</v>
      </c>
      <c r="I161" s="12"/>
      <c r="J161" s="4" t="s">
        <v>34</v>
      </c>
      <c r="K161" s="4"/>
      <c r="L161" s="4" t="s">
        <v>34</v>
      </c>
      <c r="M161" s="15" t="s">
        <v>35</v>
      </c>
      <c r="N161" s="6">
        <f>((N160-M160)/2)+M160</f>
        <v>224</v>
      </c>
      <c r="O161" s="49"/>
    </row>
    <row r="162" spans="1:19" x14ac:dyDescent="0.3">
      <c r="D162" s="15"/>
      <c r="E162" s="15"/>
      <c r="F162">
        <f>F160-E160</f>
        <v>45</v>
      </c>
      <c r="H162">
        <f>H160-G160</f>
        <v>10</v>
      </c>
      <c r="I162" s="12"/>
      <c r="J162">
        <f>J160-I160</f>
        <v>-179</v>
      </c>
      <c r="L162">
        <f>L160-K160</f>
        <v>359</v>
      </c>
      <c r="M162" s="15" t="s">
        <v>172</v>
      </c>
      <c r="N162">
        <f>(N160-M160)+1</f>
        <v>65</v>
      </c>
    </row>
    <row r="163" spans="1:19" ht="42" x14ac:dyDescent="0.3">
      <c r="D163" s="15"/>
      <c r="E163" s="15"/>
      <c r="F163" s="4" t="s">
        <v>36</v>
      </c>
      <c r="G163" s="4"/>
      <c r="H163" s="4" t="s">
        <v>37</v>
      </c>
      <c r="I163" s="16"/>
      <c r="J163" s="4" t="s">
        <v>38</v>
      </c>
      <c r="K163" s="4"/>
      <c r="L163" s="4" t="s">
        <v>39</v>
      </c>
      <c r="M163" s="15"/>
      <c r="O163" s="8" t="s">
        <v>148</v>
      </c>
      <c r="P163" s="8" t="s">
        <v>149</v>
      </c>
      <c r="R163" s="46" t="s">
        <v>132</v>
      </c>
      <c r="S163" s="46" t="s">
        <v>133</v>
      </c>
    </row>
    <row r="164" spans="1:19" x14ac:dyDescent="0.3">
      <c r="D164" s="15"/>
      <c r="E164" s="15"/>
      <c r="F164">
        <f>F162/$B$160</f>
        <v>64</v>
      </c>
      <c r="H164" s="17">
        <f>H162/$C$160</f>
        <v>14.222222222222221</v>
      </c>
      <c r="I164" s="12"/>
      <c r="J164">
        <f>J162/$B$160</f>
        <v>-254.57777777777778</v>
      </c>
      <c r="L164" s="17">
        <f>L162/$C$160</f>
        <v>510.57777777777778</v>
      </c>
      <c r="M164" s="15"/>
      <c r="O164" s="14"/>
      <c r="P164" s="14"/>
      <c r="R164">
        <f>(F192-E192)/2+E192</f>
        <v>0</v>
      </c>
      <c r="S164">
        <f>(H192-G192)/2+G192</f>
        <v>0</v>
      </c>
    </row>
    <row r="165" spans="1:19" x14ac:dyDescent="0.3">
      <c r="D165" s="15"/>
      <c r="E165" s="15"/>
      <c r="I165" s="15"/>
      <c r="J165">
        <v>256</v>
      </c>
      <c r="L165">
        <v>512</v>
      </c>
      <c r="M165" s="15"/>
      <c r="O165" s="20"/>
      <c r="P165" s="20"/>
      <c r="R165" t="s">
        <v>134</v>
      </c>
    </row>
    <row r="166" spans="1:19" x14ac:dyDescent="0.3">
      <c r="D166" s="15"/>
      <c r="E166" s="15"/>
      <c r="I166" s="15"/>
      <c r="M166" s="15" t="s">
        <v>173</v>
      </c>
      <c r="N166" s="19">
        <f>(O136-P136)+1</f>
        <v>15.222222222222229</v>
      </c>
      <c r="O166" s="20"/>
      <c r="P166" s="20"/>
      <c r="R166">
        <f>(F194-E194)/2+E194</f>
        <v>360</v>
      </c>
      <c r="S166">
        <f>(H194-G194)/2+G194</f>
        <v>35.5</v>
      </c>
    </row>
    <row r="167" spans="1:19" ht="55.2" x14ac:dyDescent="0.3">
      <c r="A167" s="58" t="s">
        <v>83</v>
      </c>
      <c r="B167" s="8" t="s">
        <v>18</v>
      </c>
      <c r="C167" s="8" t="s">
        <v>19</v>
      </c>
      <c r="D167" s="15"/>
      <c r="E167" s="28" t="s">
        <v>84</v>
      </c>
      <c r="F167" s="27"/>
      <c r="G167" s="27"/>
      <c r="H167" s="27" t="s">
        <v>85</v>
      </c>
      <c r="I167" s="28" t="s">
        <v>24</v>
      </c>
      <c r="J167" s="27" t="s">
        <v>25</v>
      </c>
      <c r="K167" s="27" t="s">
        <v>26</v>
      </c>
      <c r="L167" s="27" t="s">
        <v>27</v>
      </c>
      <c r="M167" s="29" t="s">
        <v>86</v>
      </c>
      <c r="N167" s="30" t="s">
        <v>87</v>
      </c>
      <c r="O167" s="20"/>
      <c r="P167" s="20"/>
    </row>
    <row r="168" spans="1:19" x14ac:dyDescent="0.3">
      <c r="B168" s="2">
        <v>0.703125</v>
      </c>
      <c r="C168" s="2">
        <v>0.703125</v>
      </c>
      <c r="D168" s="15"/>
      <c r="E168" s="39">
        <f>E160+(F160-E160)/2</f>
        <v>157.5</v>
      </c>
      <c r="F168" s="13"/>
      <c r="G168" s="11"/>
      <c r="H168" s="38">
        <f>G160+(H160-G160)/2</f>
        <v>0</v>
      </c>
      <c r="I168" s="12">
        <v>89.5</v>
      </c>
      <c r="J168" s="2">
        <v>-89.5</v>
      </c>
      <c r="K168" s="2">
        <v>0</v>
      </c>
      <c r="L168" s="2">
        <v>359</v>
      </c>
      <c r="M168" s="32">
        <f>E170/B168</f>
        <v>224</v>
      </c>
      <c r="N168" s="33">
        <f>$M$5-(I168-H168)/C168</f>
        <v>128.71111111111111</v>
      </c>
    </row>
    <row r="169" spans="1:19" x14ac:dyDescent="0.3">
      <c r="B169" s="4"/>
      <c r="C169" s="4"/>
      <c r="D169" s="15"/>
      <c r="E169" s="13" t="s">
        <v>50</v>
      </c>
      <c r="F169" s="13"/>
      <c r="G169" s="11"/>
      <c r="H169" s="11"/>
      <c r="I169" s="12"/>
      <c r="J169" s="2"/>
      <c r="K169" s="2"/>
      <c r="L169" s="2"/>
      <c r="M169" s="12" t="s">
        <v>88</v>
      </c>
      <c r="N169" s="2" t="s">
        <v>88</v>
      </c>
    </row>
    <row r="170" spans="1:19" x14ac:dyDescent="0.3">
      <c r="D170" s="15"/>
      <c r="E170" s="13">
        <f>E168</f>
        <v>157.5</v>
      </c>
      <c r="F170" s="13" t="s">
        <v>71</v>
      </c>
      <c r="G170" s="11"/>
      <c r="H170" s="11"/>
      <c r="I170" s="12"/>
      <c r="J170" s="2"/>
      <c r="K170" s="2"/>
      <c r="L170" s="2"/>
      <c r="M170" s="12"/>
      <c r="N170" s="2"/>
    </row>
    <row r="171" spans="1:19" ht="15" thickBot="1" x14ac:dyDescent="0.35">
      <c r="D171" s="15"/>
      <c r="E171" s="15"/>
      <c r="I171" s="15"/>
      <c r="M171" s="15"/>
      <c r="O171" s="6">
        <f>256-(I192-H192)/C192</f>
        <v>128.71111111111111</v>
      </c>
      <c r="P171" s="18">
        <f>O171-H199</f>
        <v>128.71111111111111</v>
      </c>
    </row>
    <row r="172" spans="1:19" ht="15" thickBot="1" x14ac:dyDescent="0.35">
      <c r="D172" s="15"/>
      <c r="E172" s="15"/>
      <c r="I172" s="15"/>
      <c r="M172" s="15"/>
      <c r="O172" s="48" t="s">
        <v>40</v>
      </c>
      <c r="P172" s="47">
        <f>((P171-O171)/2)+O171</f>
        <v>128.71111111111111</v>
      </c>
    </row>
    <row r="173" spans="1:19" x14ac:dyDescent="0.3">
      <c r="O173" s="49"/>
    </row>
    <row r="174" spans="1:19" x14ac:dyDescent="0.3">
      <c r="O174" s="49"/>
    </row>
    <row r="175" spans="1:19" x14ac:dyDescent="0.3">
      <c r="O175" s="49"/>
    </row>
    <row r="176" spans="1:19" x14ac:dyDescent="0.3">
      <c r="O176" s="49"/>
    </row>
    <row r="177" spans="1:15" x14ac:dyDescent="0.3">
      <c r="O177" s="49"/>
    </row>
    <row r="178" spans="1:15" x14ac:dyDescent="0.3">
      <c r="A178" s="7" t="s">
        <v>41</v>
      </c>
      <c r="O178" s="49"/>
    </row>
    <row r="179" spans="1:15" ht="41.4" x14ac:dyDescent="0.3">
      <c r="B179" s="8" t="s">
        <v>18</v>
      </c>
      <c r="C179" s="8" t="s">
        <v>19</v>
      </c>
      <c r="D179" s="9"/>
      <c r="E179" s="9" t="s">
        <v>42</v>
      </c>
      <c r="F179" s="8" t="s">
        <v>43</v>
      </c>
      <c r="G179" s="8" t="s">
        <v>44</v>
      </c>
      <c r="H179" s="8" t="s">
        <v>45</v>
      </c>
      <c r="I179" s="9" t="s">
        <v>24</v>
      </c>
      <c r="J179" s="8" t="s">
        <v>25</v>
      </c>
      <c r="K179" s="8" t="s">
        <v>26</v>
      </c>
      <c r="L179" s="8" t="s">
        <v>27</v>
      </c>
      <c r="M179" s="9" t="s">
        <v>46</v>
      </c>
      <c r="N179" s="8" t="s">
        <v>47</v>
      </c>
      <c r="O179" s="49"/>
    </row>
    <row r="180" spans="1:15" ht="15" thickBot="1" x14ac:dyDescent="0.35">
      <c r="B180" s="2">
        <v>0.703125</v>
      </c>
      <c r="C180" s="2">
        <v>0.703125</v>
      </c>
      <c r="D180" s="12"/>
      <c r="E180" s="13">
        <v>-110</v>
      </c>
      <c r="F180" s="11">
        <v>-105</v>
      </c>
      <c r="G180" s="11">
        <v>33</v>
      </c>
      <c r="H180" s="11">
        <v>38</v>
      </c>
      <c r="I180" s="12">
        <v>89.5</v>
      </c>
      <c r="J180" s="2">
        <v>-89.5</v>
      </c>
      <c r="K180" s="2">
        <v>0</v>
      </c>
      <c r="L180" s="2">
        <v>359</v>
      </c>
      <c r="M180" s="32">
        <f>E182/B180</f>
        <v>355.55555555555554</v>
      </c>
      <c r="N180" s="33">
        <f>$M$6-(I180-H180)/C180</f>
        <v>438.75555555555559</v>
      </c>
      <c r="O180" s="49"/>
    </row>
    <row r="181" spans="1:15" ht="15" thickBot="1" x14ac:dyDescent="0.35">
      <c r="B181" s="2"/>
      <c r="C181" s="2"/>
      <c r="D181" s="12"/>
      <c r="E181" s="13" t="s">
        <v>50</v>
      </c>
      <c r="F181" s="13" t="s">
        <v>50</v>
      </c>
      <c r="G181" s="11"/>
      <c r="H181" s="11"/>
      <c r="I181" s="12"/>
      <c r="J181" s="2"/>
      <c r="K181" s="2"/>
      <c r="L181" s="2"/>
      <c r="M181" s="48" t="s">
        <v>35</v>
      </c>
      <c r="N181" s="47">
        <f>((N180-M180)/2)+M180</f>
        <v>397.15555555555557</v>
      </c>
      <c r="O181" s="49"/>
    </row>
    <row r="182" spans="1:15" x14ac:dyDescent="0.3">
      <c r="B182" s="2"/>
      <c r="C182" s="2"/>
      <c r="D182" s="12"/>
      <c r="E182" s="13">
        <f>(180-ABS(E180))+180</f>
        <v>250</v>
      </c>
      <c r="F182" s="13">
        <f>(180-ABS(F180))+180</f>
        <v>255</v>
      </c>
      <c r="G182" s="11">
        <v>33</v>
      </c>
      <c r="H182" s="11">
        <v>38</v>
      </c>
      <c r="I182" s="12"/>
      <c r="J182" s="2"/>
      <c r="K182" s="2"/>
      <c r="L182" s="2"/>
      <c r="M182" s="12"/>
      <c r="N182" s="2"/>
      <c r="O182" s="49"/>
    </row>
    <row r="183" spans="1:15" x14ac:dyDescent="0.3">
      <c r="B183" s="2"/>
      <c r="C183" s="2"/>
      <c r="D183" s="12"/>
      <c r="E183" s="13"/>
      <c r="F183" s="11"/>
      <c r="G183" s="11"/>
      <c r="H183" s="11"/>
      <c r="I183" s="12"/>
      <c r="J183" s="2"/>
      <c r="K183" s="2"/>
      <c r="L183" s="2"/>
      <c r="M183" s="12"/>
      <c r="N183" s="2"/>
      <c r="O183" s="49"/>
    </row>
    <row r="184" spans="1:15" ht="41.4" x14ac:dyDescent="0.3">
      <c r="B184" s="4" t="s">
        <v>32</v>
      </c>
      <c r="C184" s="4" t="s">
        <v>33</v>
      </c>
      <c r="D184" s="15"/>
      <c r="E184" s="15"/>
      <c r="F184" s="4" t="s">
        <v>34</v>
      </c>
      <c r="G184" s="4"/>
      <c r="H184" s="4" t="s">
        <v>34</v>
      </c>
      <c r="I184" s="12"/>
      <c r="J184" s="4" t="s">
        <v>34</v>
      </c>
      <c r="K184" s="4"/>
      <c r="L184" s="4" t="s">
        <v>34</v>
      </c>
      <c r="M184" s="15"/>
      <c r="O184" s="49"/>
    </row>
    <row r="185" spans="1:15" x14ac:dyDescent="0.3">
      <c r="D185" s="15"/>
      <c r="E185" s="15"/>
      <c r="F185">
        <f>F180-E180</f>
        <v>5</v>
      </c>
      <c r="H185">
        <f>H180-G180</f>
        <v>5</v>
      </c>
      <c r="I185" s="12"/>
      <c r="J185">
        <f>J180-I180</f>
        <v>-179</v>
      </c>
      <c r="L185">
        <f>L180-K180</f>
        <v>359</v>
      </c>
      <c r="M185" s="15"/>
      <c r="O185" s="49"/>
    </row>
    <row r="186" spans="1:15" x14ac:dyDescent="0.3">
      <c r="D186" s="15"/>
      <c r="E186" s="15"/>
      <c r="F186" s="4" t="s">
        <v>36</v>
      </c>
      <c r="G186" s="4"/>
      <c r="H186" s="4" t="s">
        <v>37</v>
      </c>
      <c r="I186" s="16"/>
      <c r="J186" s="4" t="s">
        <v>37</v>
      </c>
      <c r="K186" s="4"/>
      <c r="L186" s="4" t="s">
        <v>36</v>
      </c>
      <c r="O186" s="49"/>
    </row>
    <row r="187" spans="1:15" x14ac:dyDescent="0.3">
      <c r="D187" s="15"/>
      <c r="E187" s="15"/>
      <c r="F187">
        <f>F185/$B$160</f>
        <v>7.1111111111111107</v>
      </c>
      <c r="H187" s="17">
        <f>H185/$C$160</f>
        <v>7.1111111111111107</v>
      </c>
      <c r="I187" s="12"/>
      <c r="J187">
        <f>J185/$B$160</f>
        <v>-254.57777777777778</v>
      </c>
      <c r="L187" s="17">
        <f>L185/$C$160</f>
        <v>510.57777777777778</v>
      </c>
      <c r="O187" s="49"/>
    </row>
    <row r="188" spans="1:15" x14ac:dyDescent="0.3">
      <c r="D188" s="15"/>
      <c r="E188" s="15"/>
      <c r="I188" s="15"/>
      <c r="O188" s="49"/>
    </row>
    <row r="189" spans="1:15" x14ac:dyDescent="0.3">
      <c r="D189" s="15"/>
      <c r="E189" s="15"/>
      <c r="I189" s="15"/>
      <c r="M189" s="15"/>
      <c r="O189" s="49"/>
    </row>
    <row r="190" spans="1:15" x14ac:dyDescent="0.3">
      <c r="A190" s="7" t="s">
        <v>141</v>
      </c>
      <c r="O190" s="49"/>
    </row>
    <row r="191" spans="1:15" ht="41.4" x14ac:dyDescent="0.3">
      <c r="B191" s="8" t="s">
        <v>18</v>
      </c>
      <c r="C191" s="8" t="s">
        <v>19</v>
      </c>
      <c r="D191" s="9"/>
      <c r="E191" s="9" t="s">
        <v>142</v>
      </c>
      <c r="F191" s="8" t="s">
        <v>143</v>
      </c>
      <c r="G191" s="8" t="s">
        <v>144</v>
      </c>
      <c r="H191" s="8" t="s">
        <v>145</v>
      </c>
      <c r="I191" s="9" t="s">
        <v>24</v>
      </c>
      <c r="J191" s="8" t="s">
        <v>25</v>
      </c>
      <c r="K191" s="8" t="s">
        <v>26</v>
      </c>
      <c r="L191" s="8" t="s">
        <v>27</v>
      </c>
      <c r="M191" s="9" t="s">
        <v>146</v>
      </c>
      <c r="N191" s="8" t="s">
        <v>147</v>
      </c>
      <c r="O191" s="49"/>
    </row>
    <row r="192" spans="1:15" ht="15" thickBot="1" x14ac:dyDescent="0.35">
      <c r="B192" s="2">
        <v>0.703125</v>
      </c>
      <c r="C192" s="2">
        <v>0.703125</v>
      </c>
      <c r="D192" s="12"/>
      <c r="E192" s="51"/>
      <c r="F192" s="52"/>
      <c r="G192" s="52"/>
      <c r="H192" s="52"/>
      <c r="I192" s="12">
        <v>89.5</v>
      </c>
      <c r="J192" s="2">
        <v>-89.5</v>
      </c>
      <c r="K192" s="2">
        <v>0</v>
      </c>
      <c r="L192" s="2">
        <v>359</v>
      </c>
      <c r="M192" s="32">
        <f>E194/B192</f>
        <v>512</v>
      </c>
      <c r="N192" s="33">
        <f>$M$5-(I192-H192)/C192</f>
        <v>128.71111111111111</v>
      </c>
      <c r="O192" s="49"/>
    </row>
    <row r="193" spans="1:16" ht="15" thickBot="1" x14ac:dyDescent="0.35">
      <c r="B193" s="2"/>
      <c r="C193" s="2"/>
      <c r="D193" s="12"/>
      <c r="E193" s="13" t="s">
        <v>50</v>
      </c>
      <c r="F193" s="13" t="s">
        <v>50</v>
      </c>
      <c r="G193" s="11"/>
      <c r="H193" s="11"/>
      <c r="I193" s="12"/>
      <c r="J193" s="2"/>
      <c r="K193" s="2"/>
      <c r="L193" s="2"/>
      <c r="M193" s="48" t="s">
        <v>35</v>
      </c>
      <c r="N193" s="47">
        <f>((N192-M192)/2)+M192</f>
        <v>320.35555555555555</v>
      </c>
      <c r="O193" s="49"/>
    </row>
    <row r="194" spans="1:16" x14ac:dyDescent="0.3">
      <c r="B194" s="2"/>
      <c r="C194" s="2"/>
      <c r="D194" s="12"/>
      <c r="E194" s="13">
        <f>(180-ABS(E192))+180</f>
        <v>360</v>
      </c>
      <c r="F194" s="13">
        <f>(180-ABS(F192))+180</f>
        <v>360</v>
      </c>
      <c r="G194" s="11">
        <v>33</v>
      </c>
      <c r="H194" s="11">
        <v>38</v>
      </c>
      <c r="I194" s="12"/>
      <c r="J194" s="2"/>
      <c r="K194" s="2"/>
      <c r="L194" s="2"/>
      <c r="M194" s="12"/>
      <c r="N194" s="2"/>
    </row>
    <row r="195" spans="1:16" x14ac:dyDescent="0.3">
      <c r="B195" s="2"/>
      <c r="C195" s="2"/>
      <c r="D195" s="12"/>
      <c r="E195" s="13"/>
      <c r="F195" s="11"/>
      <c r="G195" s="11"/>
      <c r="H195" s="11"/>
      <c r="I195" s="12"/>
      <c r="J195" s="2"/>
      <c r="K195" s="2"/>
      <c r="L195" s="2"/>
      <c r="M195" s="12"/>
      <c r="N195" s="2"/>
    </row>
    <row r="196" spans="1:16" ht="41.4" x14ac:dyDescent="0.3">
      <c r="B196" s="4" t="s">
        <v>32</v>
      </c>
      <c r="C196" s="4" t="s">
        <v>33</v>
      </c>
      <c r="D196" s="15"/>
      <c r="E196" s="15"/>
      <c r="F196" s="4" t="s">
        <v>34</v>
      </c>
      <c r="G196" s="4"/>
      <c r="H196" s="4" t="s">
        <v>34</v>
      </c>
      <c r="I196" s="12"/>
      <c r="J196" s="4" t="s">
        <v>34</v>
      </c>
      <c r="K196" s="4"/>
      <c r="L196" s="4" t="s">
        <v>34</v>
      </c>
      <c r="M196" s="15"/>
    </row>
    <row r="197" spans="1:16" x14ac:dyDescent="0.3">
      <c r="D197" s="15"/>
      <c r="E197" s="15"/>
      <c r="F197">
        <f>F192-E192</f>
        <v>0</v>
      </c>
      <c r="H197">
        <f>H192-G192</f>
        <v>0</v>
      </c>
      <c r="I197" s="12"/>
      <c r="J197">
        <f>J192-I192</f>
        <v>-179</v>
      </c>
      <c r="L197">
        <f>L192-K192</f>
        <v>359</v>
      </c>
      <c r="M197" s="15"/>
    </row>
    <row r="198" spans="1:16" x14ac:dyDescent="0.3">
      <c r="D198" s="15"/>
      <c r="E198" s="15"/>
      <c r="F198" s="4" t="s">
        <v>36</v>
      </c>
      <c r="G198" s="4"/>
      <c r="H198" s="4" t="s">
        <v>37</v>
      </c>
      <c r="I198" s="16"/>
      <c r="J198" s="4" t="s">
        <v>37</v>
      </c>
      <c r="K198" s="4"/>
      <c r="L198" s="4" t="s">
        <v>36</v>
      </c>
      <c r="M198" s="15"/>
    </row>
    <row r="199" spans="1:16" x14ac:dyDescent="0.3">
      <c r="D199" s="15"/>
      <c r="E199" s="15"/>
      <c r="F199">
        <f>F197/$B$160</f>
        <v>0</v>
      </c>
      <c r="H199" s="17">
        <f>H197/$C$160</f>
        <v>0</v>
      </c>
      <c r="I199" s="12"/>
      <c r="J199">
        <f>J197/$B$160</f>
        <v>-254.57777777777778</v>
      </c>
      <c r="L199" s="17">
        <f>L197/$C$160</f>
        <v>510.57777777777778</v>
      </c>
      <c r="M199" s="15"/>
    </row>
    <row r="200" spans="1:16" x14ac:dyDescent="0.3">
      <c r="D200" s="15"/>
      <c r="E200" s="15"/>
      <c r="I200" s="15"/>
      <c r="M200" s="15"/>
    </row>
    <row r="201" spans="1:16" x14ac:dyDescent="0.3">
      <c r="D201" s="15"/>
      <c r="E201" s="15"/>
      <c r="I201" s="15"/>
      <c r="M201" s="15"/>
    </row>
    <row r="202" spans="1:16" ht="41.4" x14ac:dyDescent="0.3">
      <c r="A202" s="26" t="s">
        <v>188</v>
      </c>
      <c r="B202" s="27" t="s">
        <v>18</v>
      </c>
      <c r="C202" s="27" t="s">
        <v>19</v>
      </c>
      <c r="D202" s="28"/>
      <c r="E202" s="28" t="s">
        <v>189</v>
      </c>
      <c r="F202" s="27"/>
      <c r="G202" s="27"/>
      <c r="H202" s="27" t="s">
        <v>190</v>
      </c>
      <c r="I202" s="28" t="s">
        <v>24</v>
      </c>
      <c r="J202" s="27" t="s">
        <v>25</v>
      </c>
      <c r="K202" s="27" t="s">
        <v>26</v>
      </c>
      <c r="L202" s="27" t="s">
        <v>27</v>
      </c>
      <c r="M202" s="29" t="s">
        <v>191</v>
      </c>
      <c r="N202" s="30" t="s">
        <v>192</v>
      </c>
    </row>
    <row r="203" spans="1:16" x14ac:dyDescent="0.3">
      <c r="B203" s="2">
        <v>0.703125</v>
      </c>
      <c r="C203" s="2">
        <v>0.703125</v>
      </c>
      <c r="D203" s="12"/>
      <c r="E203" s="13">
        <v>-110.526</v>
      </c>
      <c r="F203" s="13"/>
      <c r="G203" s="11"/>
      <c r="H203" s="11">
        <v>40.606666666666669</v>
      </c>
      <c r="I203" s="12">
        <v>89.5</v>
      </c>
      <c r="J203" s="2">
        <v>-89.5</v>
      </c>
      <c r="K203" s="2">
        <v>0</v>
      </c>
      <c r="L203" s="2">
        <v>359</v>
      </c>
      <c r="M203" s="32">
        <f>E205/B203</f>
        <v>354.80746666666664</v>
      </c>
      <c r="N203" s="33">
        <f>$M$5-(I203-H203)/C203</f>
        <v>186.46281481481481</v>
      </c>
    </row>
    <row r="204" spans="1:16" x14ac:dyDescent="0.3">
      <c r="B204" s="2"/>
      <c r="C204" s="2"/>
      <c r="D204" s="12"/>
      <c r="E204" s="13" t="s">
        <v>50</v>
      </c>
      <c r="F204" s="13"/>
      <c r="G204" s="11"/>
      <c r="H204" s="11"/>
      <c r="I204" s="12"/>
      <c r="J204" s="2"/>
      <c r="K204" s="2"/>
      <c r="L204" s="2"/>
      <c r="M204" s="12"/>
      <c r="N204" s="2"/>
    </row>
    <row r="205" spans="1:16" x14ac:dyDescent="0.3">
      <c r="B205" s="2"/>
      <c r="C205" s="2"/>
      <c r="D205" s="12"/>
      <c r="E205" s="13">
        <f>(180-ABS(E203))+180</f>
        <v>249.47399999999999</v>
      </c>
      <c r="F205" s="13"/>
      <c r="G205" s="11"/>
      <c r="H205" s="11"/>
      <c r="I205" s="12"/>
      <c r="J205" s="2"/>
      <c r="K205" s="2"/>
      <c r="L205" s="2"/>
      <c r="M205" s="12"/>
      <c r="N205" s="2"/>
    </row>
    <row r="206" spans="1:16" ht="55.8" x14ac:dyDescent="0.35">
      <c r="A206" s="22" t="s">
        <v>225</v>
      </c>
      <c r="D206" s="23"/>
      <c r="E206" s="28" t="s">
        <v>229</v>
      </c>
      <c r="F206" s="27"/>
      <c r="G206" s="27"/>
      <c r="H206" s="27" t="s">
        <v>226</v>
      </c>
      <c r="I206" s="28" t="s">
        <v>24</v>
      </c>
      <c r="J206" s="27" t="s">
        <v>25</v>
      </c>
      <c r="K206" s="27" t="s">
        <v>26</v>
      </c>
      <c r="L206" s="27" t="s">
        <v>27</v>
      </c>
      <c r="M206" s="29" t="s">
        <v>227</v>
      </c>
      <c r="N206" s="30" t="s">
        <v>228</v>
      </c>
      <c r="P206" s="19"/>
    </row>
    <row r="207" spans="1:16" ht="18" x14ac:dyDescent="0.35">
      <c r="A207" s="22"/>
      <c r="B207" s="2">
        <v>0.703125</v>
      </c>
      <c r="C207" s="2">
        <v>0.703125</v>
      </c>
      <c r="D207" s="23"/>
      <c r="E207" s="24">
        <v>155</v>
      </c>
      <c r="F207" s="23"/>
      <c r="G207" s="23"/>
      <c r="H207" s="24">
        <v>20</v>
      </c>
      <c r="I207" s="12">
        <v>89.5</v>
      </c>
      <c r="J207" s="2">
        <v>-89.5</v>
      </c>
      <c r="K207" s="2">
        <v>0</v>
      </c>
      <c r="L207" s="2">
        <v>359</v>
      </c>
      <c r="M207" s="32">
        <f>E207/B207</f>
        <v>220.44444444444446</v>
      </c>
      <c r="N207" s="33">
        <f>$M$5-(I207-H207)/C207</f>
        <v>157.15555555555557</v>
      </c>
    </row>
    <row r="208" spans="1:16" x14ac:dyDescent="0.3">
      <c r="D208" s="15"/>
      <c r="E208" s="15"/>
      <c r="I208" s="15"/>
      <c r="M208" s="15"/>
    </row>
    <row r="209" spans="1:18" x14ac:dyDescent="0.3">
      <c r="D209" s="15"/>
      <c r="E209" s="15"/>
      <c r="I209" s="15"/>
      <c r="M209" s="15"/>
    </row>
    <row r="210" spans="1:18" x14ac:dyDescent="0.3">
      <c r="D210" s="15"/>
      <c r="E210" s="15"/>
      <c r="I210" s="15"/>
      <c r="M210" s="15"/>
    </row>
    <row r="211" spans="1:18" x14ac:dyDescent="0.3">
      <c r="D211" s="15"/>
      <c r="E211" s="15"/>
      <c r="I211" s="15"/>
      <c r="M211" s="15"/>
    </row>
    <row r="212" spans="1:18" ht="55.2" x14ac:dyDescent="0.3">
      <c r="A212" s="26" t="s">
        <v>66</v>
      </c>
      <c r="B212" s="27" t="s">
        <v>18</v>
      </c>
      <c r="C212" s="27" t="s">
        <v>19</v>
      </c>
      <c r="D212" s="28"/>
      <c r="E212" s="28" t="s">
        <v>67</v>
      </c>
      <c r="F212" s="27"/>
      <c r="G212" s="27"/>
      <c r="H212" s="27" t="s">
        <v>68</v>
      </c>
      <c r="I212" s="28" t="s">
        <v>24</v>
      </c>
      <c r="J212" s="27" t="s">
        <v>25</v>
      </c>
      <c r="K212" s="27" t="s">
        <v>26</v>
      </c>
      <c r="L212" s="27" t="s">
        <v>27</v>
      </c>
      <c r="M212" s="29" t="s">
        <v>69</v>
      </c>
      <c r="N212" s="30" t="s">
        <v>70</v>
      </c>
    </row>
    <row r="213" spans="1:18" x14ac:dyDescent="0.3">
      <c r="B213" s="2">
        <v>0.703125</v>
      </c>
      <c r="C213" s="2">
        <v>0.703125</v>
      </c>
      <c r="D213" s="15"/>
      <c r="E213" s="13">
        <v>160</v>
      </c>
      <c r="F213" s="13"/>
      <c r="G213" s="11"/>
      <c r="H213" s="11">
        <v>0</v>
      </c>
      <c r="I213" s="12">
        <v>89.5</v>
      </c>
      <c r="J213" s="2">
        <v>-89.5</v>
      </c>
      <c r="K213" s="2">
        <v>0</v>
      </c>
      <c r="L213" s="2">
        <v>359</v>
      </c>
      <c r="M213" s="32">
        <f>E215/B213</f>
        <v>227.55555555555554</v>
      </c>
      <c r="N213" s="33">
        <f>$M$5-(I213-H213)/C213</f>
        <v>128.71111111111111</v>
      </c>
    </row>
    <row r="214" spans="1:18" x14ac:dyDescent="0.3">
      <c r="B214" s="4"/>
      <c r="C214" s="4"/>
      <c r="D214" s="15"/>
      <c r="E214" s="13" t="s">
        <v>50</v>
      </c>
      <c r="F214" s="13" t="s">
        <v>71</v>
      </c>
      <c r="G214" s="11"/>
      <c r="H214" s="11"/>
      <c r="I214" s="12"/>
      <c r="J214" s="2"/>
      <c r="K214" s="2"/>
      <c r="L214" s="2"/>
      <c r="M214" s="12" t="s">
        <v>88</v>
      </c>
      <c r="N214" s="2" t="s">
        <v>88</v>
      </c>
    </row>
    <row r="215" spans="1:18" x14ac:dyDescent="0.3">
      <c r="D215" s="15"/>
      <c r="E215" s="13">
        <f>E213</f>
        <v>160</v>
      </c>
      <c r="F215" s="13" t="s">
        <v>72</v>
      </c>
      <c r="G215" s="11"/>
      <c r="H215" s="11"/>
      <c r="I215" s="12"/>
      <c r="J215" s="2"/>
      <c r="K215" s="2"/>
      <c r="L215" s="2"/>
      <c r="M215" s="12"/>
      <c r="N215" s="2"/>
    </row>
    <row r="216" spans="1:18" x14ac:dyDescent="0.3">
      <c r="D216" s="15"/>
      <c r="E216" s="15"/>
      <c r="I216" s="15"/>
      <c r="M216" s="15"/>
    </row>
    <row r="217" spans="1:18" x14ac:dyDescent="0.3">
      <c r="D217" s="15"/>
      <c r="E217" s="15"/>
      <c r="I217" s="15"/>
      <c r="M217" s="15"/>
    </row>
    <row r="218" spans="1:18" ht="55.2" x14ac:dyDescent="0.3">
      <c r="A218" s="26" t="s">
        <v>73</v>
      </c>
      <c r="B218" s="27" t="s">
        <v>18</v>
      </c>
      <c r="C218" s="27" t="s">
        <v>19</v>
      </c>
      <c r="D218" s="28"/>
      <c r="E218" s="28" t="s">
        <v>74</v>
      </c>
      <c r="F218" s="27"/>
      <c r="G218" s="27"/>
      <c r="H218" s="27" t="s">
        <v>75</v>
      </c>
      <c r="I218" s="28" t="s">
        <v>24</v>
      </c>
      <c r="J218" s="27" t="s">
        <v>25</v>
      </c>
      <c r="K218" s="27" t="s">
        <v>26</v>
      </c>
      <c r="L218" s="27" t="s">
        <v>27</v>
      </c>
      <c r="M218" s="29" t="s">
        <v>76</v>
      </c>
      <c r="N218" s="30" t="s">
        <v>77</v>
      </c>
    </row>
    <row r="219" spans="1:18" x14ac:dyDescent="0.3">
      <c r="B219" s="2">
        <v>0.703125</v>
      </c>
      <c r="C219" s="2">
        <v>0.703125</v>
      </c>
      <c r="D219" s="15"/>
      <c r="E219" s="13">
        <v>-160</v>
      </c>
      <c r="F219" s="13"/>
      <c r="G219" s="11"/>
      <c r="H219" s="11">
        <v>0</v>
      </c>
      <c r="I219" s="12">
        <v>89.5</v>
      </c>
      <c r="J219" s="2">
        <v>-89.5</v>
      </c>
      <c r="K219" s="2">
        <v>0</v>
      </c>
      <c r="L219" s="2">
        <v>359</v>
      </c>
      <c r="M219" s="32">
        <f>E221/B219</f>
        <v>284.44444444444446</v>
      </c>
      <c r="N219" s="33">
        <f>$M$5-(I219-H219)/C219</f>
        <v>128.71111111111111</v>
      </c>
    </row>
    <row r="220" spans="1:18" x14ac:dyDescent="0.3">
      <c r="B220" s="4"/>
      <c r="C220" s="4"/>
      <c r="D220" s="15"/>
      <c r="E220" s="13" t="s">
        <v>50</v>
      </c>
      <c r="F220" s="13"/>
      <c r="G220" s="11"/>
      <c r="H220" s="11"/>
      <c r="I220" s="12"/>
      <c r="J220" s="2"/>
      <c r="K220" s="2"/>
      <c r="L220" s="2"/>
      <c r="M220" s="12" t="s">
        <v>88</v>
      </c>
      <c r="N220" s="2" t="s">
        <v>88</v>
      </c>
    </row>
    <row r="221" spans="1:18" x14ac:dyDescent="0.3">
      <c r="D221" s="15"/>
      <c r="E221" s="13">
        <f>(180-ABS(E219))+180</f>
        <v>200</v>
      </c>
      <c r="F221" s="13"/>
      <c r="G221" s="11"/>
      <c r="H221" s="11"/>
      <c r="I221" s="12"/>
      <c r="J221" s="2"/>
      <c r="K221" s="2"/>
      <c r="L221" s="2"/>
      <c r="M221" s="12"/>
      <c r="N221" s="2"/>
    </row>
    <row r="222" spans="1:18" x14ac:dyDescent="0.3">
      <c r="D222" s="15"/>
      <c r="E222" s="15"/>
      <c r="I222" s="15"/>
      <c r="M222" s="15"/>
      <c r="P222">
        <v>294</v>
      </c>
      <c r="R222">
        <v>158</v>
      </c>
    </row>
    <row r="223" spans="1:18" x14ac:dyDescent="0.3">
      <c r="D223" s="15"/>
      <c r="E223" s="15"/>
      <c r="I223" s="15"/>
      <c r="M223" s="15"/>
      <c r="P223" s="6">
        <v>293</v>
      </c>
      <c r="Q223" s="6"/>
      <c r="R223" s="6">
        <v>157</v>
      </c>
    </row>
    <row r="224" spans="1:18" ht="41.4" x14ac:dyDescent="0.3">
      <c r="A224" s="7" t="s">
        <v>51</v>
      </c>
      <c r="B224" s="27" t="s">
        <v>18</v>
      </c>
      <c r="C224" s="27" t="s">
        <v>19</v>
      </c>
      <c r="D224" s="28"/>
      <c r="E224" s="28" t="s">
        <v>52</v>
      </c>
      <c r="F224" s="27"/>
      <c r="G224" s="27"/>
      <c r="H224" s="27" t="s">
        <v>53</v>
      </c>
      <c r="I224" s="28" t="s">
        <v>24</v>
      </c>
      <c r="J224" s="27" t="s">
        <v>25</v>
      </c>
      <c r="K224" s="27" t="s">
        <v>26</v>
      </c>
      <c r="L224" s="27" t="s">
        <v>27</v>
      </c>
      <c r="M224" s="29" t="s">
        <v>54</v>
      </c>
      <c r="N224" s="30" t="s">
        <v>55</v>
      </c>
    </row>
    <row r="225" spans="1:14" x14ac:dyDescent="0.3">
      <c r="B225" s="2">
        <v>0.703125</v>
      </c>
      <c r="C225" s="2">
        <v>0.703125</v>
      </c>
      <c r="D225" s="15"/>
      <c r="E225" s="13">
        <v>-105.68270277777778</v>
      </c>
      <c r="F225" s="13"/>
      <c r="G225" s="11"/>
      <c r="H225" s="11">
        <v>35.708350000000003</v>
      </c>
      <c r="I225" s="12">
        <v>89.5</v>
      </c>
      <c r="J225" s="2">
        <v>-89.5</v>
      </c>
      <c r="K225" s="2">
        <v>0</v>
      </c>
      <c r="L225" s="2">
        <v>359</v>
      </c>
      <c r="M225" s="32">
        <f>E227/B225</f>
        <v>361.69571160493831</v>
      </c>
      <c r="N225" s="33">
        <f>$M$5-(I225-H225)/C225</f>
        <v>179.49632</v>
      </c>
    </row>
    <row r="226" spans="1:14" x14ac:dyDescent="0.3">
      <c r="B226" s="4"/>
      <c r="C226" s="4"/>
      <c r="D226" s="15"/>
      <c r="E226" s="13" t="s">
        <v>50</v>
      </c>
      <c r="F226" s="13"/>
      <c r="G226" s="11"/>
      <c r="H226" s="11"/>
      <c r="I226" s="12"/>
      <c r="J226" s="2"/>
      <c r="K226" s="2"/>
      <c r="L226" s="2"/>
      <c r="M226" s="12" t="s">
        <v>88</v>
      </c>
      <c r="N226" s="2" t="s">
        <v>88</v>
      </c>
    </row>
    <row r="227" spans="1:14" x14ac:dyDescent="0.3">
      <c r="D227" s="15"/>
      <c r="E227" s="13">
        <f>(180-ABS(E225))+180</f>
        <v>254.31729722222224</v>
      </c>
      <c r="F227" s="13"/>
      <c r="G227" s="11"/>
      <c r="H227" s="11"/>
      <c r="I227" s="12"/>
      <c r="J227" s="2"/>
      <c r="K227" s="2"/>
      <c r="L227" s="2"/>
      <c r="M227" s="12"/>
      <c r="N227" s="2"/>
    </row>
    <row r="229" spans="1:14" ht="41.4" x14ac:dyDescent="0.3">
      <c r="A229" s="26" t="s">
        <v>56</v>
      </c>
      <c r="B229" s="27" t="s">
        <v>18</v>
      </c>
      <c r="C229" s="27" t="s">
        <v>19</v>
      </c>
      <c r="D229" s="28"/>
      <c r="E229" s="28" t="s">
        <v>57</v>
      </c>
      <c r="F229" s="27"/>
      <c r="G229" s="27"/>
      <c r="H229" s="27" t="s">
        <v>58</v>
      </c>
      <c r="I229" s="28" t="s">
        <v>24</v>
      </c>
      <c r="J229" s="27" t="s">
        <v>25</v>
      </c>
      <c r="K229" s="27" t="s">
        <v>26</v>
      </c>
      <c r="L229" s="27" t="s">
        <v>27</v>
      </c>
      <c r="M229" s="29" t="s">
        <v>59</v>
      </c>
      <c r="N229" s="30" t="s">
        <v>60</v>
      </c>
    </row>
    <row r="230" spans="1:14" x14ac:dyDescent="0.3">
      <c r="B230" s="2">
        <v>0.703125</v>
      </c>
      <c r="C230" s="2">
        <v>0.703125</v>
      </c>
      <c r="D230" s="15"/>
      <c r="E230" s="13">
        <v>-108.20175</v>
      </c>
      <c r="F230" s="13"/>
      <c r="G230" s="11"/>
      <c r="H230" s="11">
        <v>36.722500000000004</v>
      </c>
      <c r="I230" s="12">
        <v>89.5</v>
      </c>
      <c r="J230" s="2">
        <v>-89.5</v>
      </c>
      <c r="K230" s="2">
        <v>0</v>
      </c>
      <c r="L230" s="2">
        <v>359</v>
      </c>
      <c r="M230" s="32">
        <f>E232/B230</f>
        <v>358.11306666666667</v>
      </c>
      <c r="N230" s="33">
        <f>$M$5-(I230-H230)/C230</f>
        <v>180.93866666666668</v>
      </c>
    </row>
    <row r="231" spans="1:14" x14ac:dyDescent="0.3">
      <c r="B231" s="4"/>
      <c r="C231" s="4"/>
      <c r="D231" s="15"/>
      <c r="E231" s="13" t="s">
        <v>50</v>
      </c>
      <c r="F231" s="13"/>
      <c r="G231" s="11"/>
      <c r="H231" s="11"/>
      <c r="I231" s="12"/>
      <c r="J231" s="2"/>
      <c r="K231" s="2"/>
      <c r="L231" s="2"/>
      <c r="M231" s="12" t="s">
        <v>88</v>
      </c>
      <c r="N231" s="2" t="s">
        <v>88</v>
      </c>
    </row>
    <row r="232" spans="1:14" x14ac:dyDescent="0.3">
      <c r="D232" s="15"/>
      <c r="E232" s="13">
        <f>(180-ABS(E230))+180</f>
        <v>251.79825</v>
      </c>
      <c r="F232" s="13"/>
      <c r="G232" s="11"/>
      <c r="H232" s="11"/>
      <c r="I232" s="12"/>
      <c r="J232" s="2"/>
      <c r="K232" s="2"/>
      <c r="L232" s="2"/>
      <c r="M232" s="12"/>
      <c r="N232" s="2"/>
    </row>
    <row r="234" spans="1:14" ht="41.4" x14ac:dyDescent="0.3">
      <c r="A234" s="26" t="s">
        <v>61</v>
      </c>
      <c r="B234" s="27" t="s">
        <v>18</v>
      </c>
      <c r="C234" s="27" t="s">
        <v>19</v>
      </c>
      <c r="D234" s="28"/>
      <c r="E234" s="28" t="s">
        <v>62</v>
      </c>
      <c r="F234" s="27"/>
      <c r="G234" s="27"/>
      <c r="H234" s="27" t="s">
        <v>63</v>
      </c>
      <c r="I234" s="28" t="s">
        <v>24</v>
      </c>
      <c r="J234" s="27" t="s">
        <v>25</v>
      </c>
      <c r="K234" s="27" t="s">
        <v>26</v>
      </c>
      <c r="L234" s="27" t="s">
        <v>27</v>
      </c>
      <c r="M234" s="29" t="s">
        <v>64</v>
      </c>
      <c r="N234" s="30" t="s">
        <v>65</v>
      </c>
    </row>
    <row r="235" spans="1:14" x14ac:dyDescent="0.3">
      <c r="B235" s="2">
        <v>0.703125</v>
      </c>
      <c r="C235" s="2">
        <v>0.703125</v>
      </c>
      <c r="D235" s="15"/>
      <c r="E235" s="13">
        <v>-108.5373861111111</v>
      </c>
      <c r="F235" s="13"/>
      <c r="G235" s="11"/>
      <c r="H235" s="11">
        <v>33.061502777777775</v>
      </c>
      <c r="I235" s="12">
        <v>89.5</v>
      </c>
      <c r="J235" s="2">
        <v>-89.5</v>
      </c>
      <c r="K235" s="2">
        <v>0</v>
      </c>
      <c r="L235" s="2">
        <v>359</v>
      </c>
      <c r="M235" s="32">
        <f>E237/B235</f>
        <v>357.63571753086421</v>
      </c>
      <c r="N235" s="33">
        <f>$M$5-(I235-H235)/C235</f>
        <v>175.73191506172839</v>
      </c>
    </row>
    <row r="236" spans="1:14" x14ac:dyDescent="0.3">
      <c r="B236" s="4"/>
      <c r="C236" s="4"/>
      <c r="D236" s="15"/>
      <c r="E236" s="13" t="s">
        <v>50</v>
      </c>
      <c r="F236" s="13"/>
      <c r="G236" s="11"/>
      <c r="H236" s="11"/>
      <c r="I236" s="12"/>
      <c r="J236" s="2"/>
      <c r="K236" s="2"/>
      <c r="L236" s="2"/>
      <c r="M236" s="12" t="s">
        <v>88</v>
      </c>
      <c r="N236" s="2" t="s">
        <v>88</v>
      </c>
    </row>
    <row r="237" spans="1:14" x14ac:dyDescent="0.3">
      <c r="D237" s="15"/>
      <c r="E237" s="13">
        <f>(180-ABS(E235))+180</f>
        <v>251.46261388888888</v>
      </c>
      <c r="F237" s="13"/>
      <c r="G237" s="11"/>
      <c r="H237" s="11"/>
      <c r="I237" s="12"/>
      <c r="J237" s="2"/>
      <c r="K237" s="2"/>
      <c r="L237" s="2"/>
      <c r="M237" s="12"/>
      <c r="N237" s="2"/>
    </row>
    <row r="239" spans="1:14" ht="69" x14ac:dyDescent="0.3">
      <c r="A239" s="26" t="s">
        <v>78</v>
      </c>
      <c r="B239" s="27" t="s">
        <v>18</v>
      </c>
      <c r="C239" s="27" t="s">
        <v>19</v>
      </c>
      <c r="D239" s="28"/>
      <c r="E239" s="28" t="s">
        <v>79</v>
      </c>
      <c r="F239" s="27"/>
      <c r="G239" s="27"/>
      <c r="H239" s="27" t="s">
        <v>80</v>
      </c>
      <c r="I239" s="28" t="s">
        <v>24</v>
      </c>
      <c r="J239" s="27" t="s">
        <v>25</v>
      </c>
      <c r="K239" s="27" t="s">
        <v>26</v>
      </c>
      <c r="L239" s="27" t="s">
        <v>27</v>
      </c>
      <c r="M239" s="29" t="s">
        <v>81</v>
      </c>
      <c r="N239" s="30" t="s">
        <v>82</v>
      </c>
    </row>
    <row r="240" spans="1:14" x14ac:dyDescent="0.3">
      <c r="B240" s="2">
        <v>0.703125</v>
      </c>
      <c r="C240" s="2">
        <v>0.703125</v>
      </c>
      <c r="D240" s="15"/>
      <c r="E240" s="11">
        <v>80.274722222222223</v>
      </c>
      <c r="F240" s="13"/>
      <c r="G240" s="11"/>
      <c r="H240" s="36">
        <v>26.616388888888892</v>
      </c>
      <c r="I240" s="12">
        <v>89.5</v>
      </c>
      <c r="J240" s="2">
        <v>-89.5</v>
      </c>
      <c r="K240" s="2">
        <v>0</v>
      </c>
      <c r="L240" s="2">
        <v>359</v>
      </c>
      <c r="M240" s="32">
        <f>E242/B240</f>
        <v>114.16849382716049</v>
      </c>
      <c r="N240" s="33">
        <f>$M$5-(I240-H240)/C240</f>
        <v>166.56553086419754</v>
      </c>
    </row>
    <row r="241" spans="1:19" x14ac:dyDescent="0.3">
      <c r="B241" s="4"/>
      <c r="C241" s="4"/>
      <c r="D241" s="15"/>
      <c r="E241" s="13" t="s">
        <v>50</v>
      </c>
      <c r="F241" s="13" t="s">
        <v>71</v>
      </c>
      <c r="G241" s="11"/>
      <c r="H241" s="11"/>
      <c r="I241" s="12"/>
      <c r="J241" s="2"/>
      <c r="K241" s="2"/>
      <c r="L241" s="2"/>
      <c r="M241" s="12" t="s">
        <v>88</v>
      </c>
      <c r="N241" s="2" t="s">
        <v>88</v>
      </c>
      <c r="R241" t="s">
        <v>92</v>
      </c>
    </row>
    <row r="242" spans="1:19" x14ac:dyDescent="0.3">
      <c r="D242" s="15"/>
      <c r="E242" s="13">
        <f>E240</f>
        <v>80.274722222222223</v>
      </c>
      <c r="F242" s="13" t="s">
        <v>72</v>
      </c>
      <c r="G242" s="11"/>
      <c r="H242" s="11"/>
      <c r="I242" s="12"/>
      <c r="J242" s="2"/>
      <c r="K242" s="2"/>
      <c r="L242" s="2"/>
      <c r="M242" s="12"/>
      <c r="N242" s="2"/>
      <c r="R242" s="70">
        <v>299.52</v>
      </c>
      <c r="S242" s="70">
        <v>103.53777777777776</v>
      </c>
    </row>
    <row r="244" spans="1:19" ht="55.2" x14ac:dyDescent="0.3">
      <c r="A244" s="25" t="s">
        <v>94</v>
      </c>
      <c r="B244" s="8" t="s">
        <v>18</v>
      </c>
      <c r="C244" s="8" t="s">
        <v>19</v>
      </c>
      <c r="D244" s="15"/>
      <c r="E244" s="28" t="s">
        <v>95</v>
      </c>
      <c r="F244" s="27"/>
      <c r="G244" s="27"/>
      <c r="H244" s="27" t="s">
        <v>96</v>
      </c>
      <c r="I244" s="28" t="s">
        <v>24</v>
      </c>
      <c r="J244" s="27" t="s">
        <v>25</v>
      </c>
      <c r="K244" s="27" t="s">
        <v>26</v>
      </c>
      <c r="L244" s="27" t="s">
        <v>27</v>
      </c>
      <c r="M244" s="29" t="s">
        <v>97</v>
      </c>
      <c r="N244" s="30" t="s">
        <v>98</v>
      </c>
    </row>
    <row r="245" spans="1:19" x14ac:dyDescent="0.3">
      <c r="B245" s="2">
        <v>0.703125</v>
      </c>
      <c r="C245" s="2">
        <v>0.703125</v>
      </c>
      <c r="D245" s="15"/>
      <c r="E245" s="39">
        <v>-150</v>
      </c>
      <c r="F245" s="13"/>
      <c r="G245" s="11"/>
      <c r="H245" s="38">
        <v>30</v>
      </c>
      <c r="I245" s="12">
        <v>89.5</v>
      </c>
      <c r="J245" s="2">
        <v>-89.5</v>
      </c>
      <c r="K245" s="2">
        <v>0</v>
      </c>
      <c r="L245" s="2">
        <v>359</v>
      </c>
      <c r="M245" s="32">
        <f>E247/B245</f>
        <v>298.66666666666669</v>
      </c>
      <c r="N245" s="33">
        <f>$M$5-(I245-H245)/C245</f>
        <v>171.37777777777779</v>
      </c>
    </row>
    <row r="246" spans="1:19" x14ac:dyDescent="0.3">
      <c r="B246" s="4"/>
      <c r="C246" s="4"/>
      <c r="D246" s="15"/>
      <c r="E246" s="13" t="s">
        <v>50</v>
      </c>
      <c r="F246" s="13"/>
      <c r="G246" s="11"/>
      <c r="H246" s="11"/>
      <c r="I246" s="12"/>
      <c r="J246" s="2"/>
      <c r="K246" s="2"/>
      <c r="L246" s="2"/>
      <c r="M246" s="12" t="s">
        <v>88</v>
      </c>
      <c r="N246" s="2" t="s">
        <v>88</v>
      </c>
    </row>
    <row r="247" spans="1:19" x14ac:dyDescent="0.3">
      <c r="D247" s="15"/>
      <c r="E247" s="13">
        <f>(180-ABS(E245))+180</f>
        <v>210</v>
      </c>
      <c r="F247" s="13"/>
      <c r="G247" s="11"/>
      <c r="H247" s="11"/>
      <c r="I247" s="12"/>
      <c r="J247" s="2"/>
      <c r="K247" s="2"/>
      <c r="L247" s="2"/>
      <c r="M247" s="12"/>
      <c r="N247" s="2"/>
    </row>
    <row r="248" spans="1:19" x14ac:dyDescent="0.3">
      <c r="D248" s="34"/>
      <c r="E248" s="36"/>
      <c r="F248" s="36"/>
      <c r="G248" s="11"/>
      <c r="H248" s="11"/>
      <c r="I248" s="35"/>
      <c r="J248" s="2"/>
      <c r="K248" s="2"/>
      <c r="L248" s="2"/>
      <c r="M248" s="35"/>
      <c r="N248" s="2"/>
    </row>
    <row r="249" spans="1:19" ht="55.2" x14ac:dyDescent="0.3">
      <c r="A249" s="25" t="s">
        <v>240</v>
      </c>
      <c r="B249" s="8" t="s">
        <v>18</v>
      </c>
      <c r="C249" s="8" t="s">
        <v>19</v>
      </c>
      <c r="D249" s="15"/>
      <c r="E249" s="28" t="s">
        <v>95</v>
      </c>
      <c r="F249" s="27"/>
      <c r="G249" s="27"/>
      <c r="H249" s="27" t="s">
        <v>96</v>
      </c>
      <c r="I249" s="28" t="s">
        <v>24</v>
      </c>
      <c r="J249" s="27" t="s">
        <v>25</v>
      </c>
      <c r="K249" s="27" t="s">
        <v>26</v>
      </c>
      <c r="L249" s="27" t="s">
        <v>27</v>
      </c>
      <c r="M249" s="29" t="s">
        <v>97</v>
      </c>
      <c r="N249" s="30" t="s">
        <v>98</v>
      </c>
    </row>
    <row r="250" spans="1:19" x14ac:dyDescent="0.3">
      <c r="B250" s="2">
        <v>0.703125</v>
      </c>
      <c r="C250" s="2">
        <v>0.703125</v>
      </c>
      <c r="D250" s="15"/>
      <c r="E250" s="39">
        <v>-150</v>
      </c>
      <c r="F250" s="13"/>
      <c r="G250" s="11"/>
      <c r="H250" s="38">
        <v>23</v>
      </c>
      <c r="I250" s="12">
        <v>89.5</v>
      </c>
      <c r="J250" s="2">
        <v>-89.5</v>
      </c>
      <c r="K250" s="2">
        <v>0</v>
      </c>
      <c r="L250" s="2">
        <v>359</v>
      </c>
      <c r="M250" s="32">
        <f>E252/B250</f>
        <v>298.66666666666669</v>
      </c>
      <c r="N250" s="33">
        <f>$M$5-(I250-H250)/C250</f>
        <v>161.42222222222222</v>
      </c>
    </row>
    <row r="251" spans="1:19" x14ac:dyDescent="0.3">
      <c r="B251" s="4"/>
      <c r="C251" s="4"/>
      <c r="D251" s="15"/>
      <c r="E251" s="13" t="s">
        <v>50</v>
      </c>
      <c r="F251" s="13"/>
      <c r="G251" s="11"/>
      <c r="H251" s="11"/>
      <c r="I251" s="12"/>
      <c r="J251" s="2"/>
      <c r="K251" s="2"/>
      <c r="L251" s="2"/>
      <c r="M251" s="12" t="s">
        <v>88</v>
      </c>
      <c r="N251" s="2" t="s">
        <v>88</v>
      </c>
    </row>
    <row r="252" spans="1:19" x14ac:dyDescent="0.3">
      <c r="B252" s="4"/>
      <c r="C252" s="4"/>
      <c r="D252" s="15"/>
      <c r="E252" s="13">
        <f>(180-ABS(E250))+180</f>
        <v>210</v>
      </c>
      <c r="F252" s="13"/>
      <c r="G252" s="11"/>
      <c r="H252" s="11"/>
      <c r="I252" s="12"/>
      <c r="J252" s="2"/>
      <c r="K252" s="2"/>
      <c r="L252" s="2"/>
      <c r="M252" s="12"/>
      <c r="N252" s="2"/>
    </row>
    <row r="253" spans="1:19" ht="55.2" x14ac:dyDescent="0.3">
      <c r="A253" s="25" t="s">
        <v>241</v>
      </c>
      <c r="B253" s="8" t="s">
        <v>18</v>
      </c>
      <c r="C253" s="8" t="s">
        <v>19</v>
      </c>
      <c r="D253" s="15"/>
      <c r="E253" s="28" t="s">
        <v>95</v>
      </c>
      <c r="F253" s="27"/>
      <c r="G253" s="27"/>
      <c r="H253" s="27" t="s">
        <v>96</v>
      </c>
      <c r="I253" s="28" t="s">
        <v>24</v>
      </c>
      <c r="J253" s="27" t="s">
        <v>25</v>
      </c>
      <c r="K253" s="27" t="s">
        <v>26</v>
      </c>
      <c r="L253" s="27" t="s">
        <v>27</v>
      </c>
      <c r="M253" s="29" t="s">
        <v>97</v>
      </c>
      <c r="N253" s="30" t="s">
        <v>98</v>
      </c>
    </row>
    <row r="254" spans="1:19" x14ac:dyDescent="0.3">
      <c r="B254" s="2">
        <v>0.703125</v>
      </c>
      <c r="C254" s="2">
        <v>0.703125</v>
      </c>
      <c r="D254" s="15"/>
      <c r="E254" s="39">
        <v>-150</v>
      </c>
      <c r="F254" s="13"/>
      <c r="G254" s="11"/>
      <c r="H254" s="38">
        <v>20</v>
      </c>
      <c r="I254" s="12">
        <v>89.5</v>
      </c>
      <c r="J254" s="2">
        <v>-89.5</v>
      </c>
      <c r="K254" s="2">
        <v>0</v>
      </c>
      <c r="L254" s="2">
        <v>359</v>
      </c>
      <c r="M254" s="32">
        <f>E256/B254</f>
        <v>290.27555555555557</v>
      </c>
      <c r="N254" s="33">
        <f>$M$5-(I254-H254)/C254</f>
        <v>157.15555555555557</v>
      </c>
    </row>
    <row r="255" spans="1:19" x14ac:dyDescent="0.3">
      <c r="B255" s="4"/>
      <c r="C255" s="4"/>
      <c r="D255" s="15"/>
      <c r="E255" s="13" t="s">
        <v>50</v>
      </c>
      <c r="F255" s="13"/>
      <c r="G255" s="11"/>
      <c r="H255" s="11"/>
      <c r="I255" s="12"/>
      <c r="J255" s="2"/>
      <c r="K255" s="2"/>
      <c r="L255" s="2"/>
      <c r="M255" s="12" t="s">
        <v>88</v>
      </c>
      <c r="N255" s="2" t="s">
        <v>88</v>
      </c>
    </row>
    <row r="256" spans="1:19" x14ac:dyDescent="0.3">
      <c r="B256" s="4"/>
      <c r="C256" s="4"/>
      <c r="D256" s="15"/>
      <c r="E256" s="13">
        <v>204.1</v>
      </c>
      <c r="F256" s="13"/>
      <c r="G256" s="11"/>
      <c r="H256" s="11"/>
      <c r="I256" s="12"/>
      <c r="J256" s="2"/>
      <c r="K256" s="2"/>
      <c r="L256" s="2"/>
      <c r="M256" s="12"/>
      <c r="N256" s="2"/>
    </row>
    <row r="257" spans="1:24" x14ac:dyDescent="0.3">
      <c r="D257" s="15"/>
      <c r="E257" s="13">
        <v>204.1</v>
      </c>
      <c r="F257" s="13"/>
      <c r="G257" s="11"/>
      <c r="H257" s="11"/>
      <c r="I257" s="12"/>
      <c r="J257" s="2"/>
      <c r="K257" s="2"/>
      <c r="L257" s="2"/>
      <c r="M257" s="12"/>
      <c r="N257" s="2"/>
    </row>
    <row r="259" spans="1:24" ht="55.2" x14ac:dyDescent="0.3">
      <c r="A259" s="25" t="s">
        <v>99</v>
      </c>
      <c r="B259" s="8" t="s">
        <v>18</v>
      </c>
      <c r="C259" s="8" t="s">
        <v>19</v>
      </c>
      <c r="D259" s="15"/>
      <c r="E259" s="28" t="s">
        <v>100</v>
      </c>
      <c r="F259" s="27"/>
      <c r="G259" s="27"/>
      <c r="H259" s="27" t="s">
        <v>101</v>
      </c>
      <c r="I259" s="28" t="s">
        <v>24</v>
      </c>
      <c r="J259" s="27" t="s">
        <v>25</v>
      </c>
      <c r="K259" s="27" t="s">
        <v>26</v>
      </c>
      <c r="L259" s="27" t="s">
        <v>27</v>
      </c>
      <c r="M259" s="29" t="s">
        <v>102</v>
      </c>
      <c r="N259" s="30" t="s">
        <v>103</v>
      </c>
    </row>
    <row r="260" spans="1:24" x14ac:dyDescent="0.3">
      <c r="B260" s="2">
        <v>0.703125</v>
      </c>
      <c r="C260" s="2">
        <v>0.703125</v>
      </c>
      <c r="D260" s="15"/>
      <c r="E260" s="39">
        <v>-79.930999999999997</v>
      </c>
      <c r="F260" s="13"/>
      <c r="G260" s="11"/>
      <c r="H260" s="38">
        <v>32.776000000000003</v>
      </c>
      <c r="I260" s="12">
        <v>89.5</v>
      </c>
      <c r="J260" s="2">
        <v>-89.5</v>
      </c>
      <c r="K260" s="2">
        <v>0</v>
      </c>
      <c r="L260" s="2">
        <v>359</v>
      </c>
      <c r="M260" s="32">
        <f>E262/B260</f>
        <v>398.32035555555558</v>
      </c>
      <c r="N260" s="33">
        <f>$M$5-(I260-H260)/C260</f>
        <v>175.32586666666668</v>
      </c>
    </row>
    <row r="261" spans="1:24" x14ac:dyDescent="0.3">
      <c r="B261" s="4"/>
      <c r="C261" s="4"/>
      <c r="D261" s="15"/>
      <c r="E261" s="13" t="s">
        <v>50</v>
      </c>
      <c r="F261" s="13"/>
      <c r="G261" s="11"/>
      <c r="H261" s="11"/>
      <c r="I261" s="12"/>
      <c r="J261" s="2"/>
      <c r="K261" s="2"/>
      <c r="L261" s="2"/>
      <c r="M261" s="12" t="s">
        <v>88</v>
      </c>
      <c r="N261" s="2" t="s">
        <v>88</v>
      </c>
    </row>
    <row r="262" spans="1:24" x14ac:dyDescent="0.3">
      <c r="D262" s="15"/>
      <c r="E262" s="13">
        <f>(180-ABS(E260))+180</f>
        <v>280.06900000000002</v>
      </c>
      <c r="F262" s="13"/>
      <c r="G262" s="11"/>
      <c r="H262" s="11"/>
      <c r="I262" s="12"/>
      <c r="J262" s="2"/>
      <c r="K262" s="2"/>
      <c r="L262" s="2"/>
      <c r="M262" s="12"/>
      <c r="N262" s="2"/>
    </row>
    <row r="263" spans="1:24" x14ac:dyDescent="0.3">
      <c r="D263" s="34"/>
      <c r="E263" s="36"/>
      <c r="F263" s="36"/>
      <c r="G263" s="11"/>
      <c r="H263" s="11"/>
      <c r="I263" s="35"/>
      <c r="J263" s="2"/>
      <c r="K263" s="2"/>
      <c r="L263" s="2"/>
      <c r="M263" s="35"/>
      <c r="N263" s="2"/>
    </row>
    <row r="264" spans="1:24" ht="69" x14ac:dyDescent="0.3">
      <c r="A264" s="25" t="s">
        <v>136</v>
      </c>
      <c r="B264" s="8" t="s">
        <v>18</v>
      </c>
      <c r="C264" s="8" t="s">
        <v>19</v>
      </c>
      <c r="D264" s="15"/>
      <c r="E264" s="28" t="s">
        <v>137</v>
      </c>
      <c r="F264" s="27"/>
      <c r="G264" s="27"/>
      <c r="H264" s="27" t="s">
        <v>138</v>
      </c>
      <c r="I264" s="28" t="s">
        <v>24</v>
      </c>
      <c r="J264" s="27" t="s">
        <v>25</v>
      </c>
      <c r="K264" s="27" t="s">
        <v>26</v>
      </c>
      <c r="L264" s="27" t="s">
        <v>27</v>
      </c>
      <c r="M264" s="29" t="s">
        <v>139</v>
      </c>
      <c r="N264" s="30" t="s">
        <v>140</v>
      </c>
    </row>
    <row r="265" spans="1:24" x14ac:dyDescent="0.3">
      <c r="B265" s="2">
        <v>0.703125</v>
      </c>
      <c r="C265" s="2">
        <v>0.703125</v>
      </c>
      <c r="D265" s="34"/>
      <c r="E265" s="36">
        <v>-122.1944</v>
      </c>
      <c r="F265" s="36"/>
      <c r="G265" s="11"/>
      <c r="H265" s="11">
        <v>46.191200000000002</v>
      </c>
      <c r="I265" s="12">
        <v>89.5</v>
      </c>
      <c r="J265" s="2">
        <v>-89.5</v>
      </c>
      <c r="K265" s="2">
        <v>0</v>
      </c>
      <c r="L265" s="2">
        <v>359</v>
      </c>
      <c r="M265" s="32">
        <f>E267/B265</f>
        <v>338.21240888888889</v>
      </c>
      <c r="N265" s="33">
        <f>$M$5-(I265-H265)/C265</f>
        <v>194.40526222222223</v>
      </c>
    </row>
    <row r="266" spans="1:24" x14ac:dyDescent="0.3">
      <c r="D266" s="34"/>
      <c r="E266" s="13" t="s">
        <v>50</v>
      </c>
      <c r="F266" s="36"/>
      <c r="G266" s="11"/>
      <c r="H266" s="11"/>
      <c r="I266" s="35"/>
      <c r="J266" s="2"/>
      <c r="K266" s="2"/>
      <c r="L266" s="2"/>
      <c r="M266" s="35"/>
      <c r="N266" s="2"/>
    </row>
    <row r="267" spans="1:24" x14ac:dyDescent="0.3">
      <c r="D267" s="34"/>
      <c r="E267" s="13">
        <f>(180-ABS(E265))+180</f>
        <v>237.8056</v>
      </c>
      <c r="F267" s="36"/>
      <c r="G267" s="11"/>
      <c r="H267" s="11"/>
      <c r="I267" s="35"/>
      <c r="J267" s="2"/>
      <c r="K267" s="2"/>
      <c r="L267" s="2"/>
      <c r="M267" s="35"/>
      <c r="N267" s="2"/>
    </row>
    <row r="268" spans="1:24" x14ac:dyDescent="0.3">
      <c r="D268" s="34"/>
      <c r="E268" s="36"/>
      <c r="F268" s="36"/>
      <c r="G268" s="11"/>
      <c r="H268" s="11"/>
      <c r="I268" s="35"/>
      <c r="J268" s="2"/>
      <c r="K268" s="2"/>
      <c r="L268" s="2"/>
      <c r="M268" s="35"/>
      <c r="N268" s="2"/>
      <c r="O268" s="20"/>
      <c r="P268" s="20"/>
    </row>
    <row r="269" spans="1:24" ht="69" x14ac:dyDescent="0.3">
      <c r="A269" s="26" t="s">
        <v>174</v>
      </c>
      <c r="B269" s="27" t="s">
        <v>18</v>
      </c>
      <c r="C269" s="27" t="s">
        <v>19</v>
      </c>
      <c r="D269" s="28"/>
      <c r="E269" s="28" t="s">
        <v>175</v>
      </c>
      <c r="F269" s="27"/>
      <c r="G269" s="27"/>
      <c r="H269" s="27" t="s">
        <v>176</v>
      </c>
      <c r="I269" s="28" t="s">
        <v>24</v>
      </c>
      <c r="J269" s="27" t="s">
        <v>25</v>
      </c>
      <c r="K269" s="27" t="s">
        <v>26</v>
      </c>
      <c r="L269" s="27" t="s">
        <v>27</v>
      </c>
      <c r="M269" s="29" t="s">
        <v>177</v>
      </c>
      <c r="N269" s="30" t="s">
        <v>178</v>
      </c>
      <c r="O269" s="20"/>
      <c r="P269" s="20"/>
    </row>
    <row r="270" spans="1:24" x14ac:dyDescent="0.3">
      <c r="A270" s="31"/>
      <c r="B270" s="2">
        <v>0.703125</v>
      </c>
      <c r="C270" s="2">
        <v>0.703125</v>
      </c>
      <c r="D270" s="12"/>
      <c r="E270" s="39">
        <v>-149.4</v>
      </c>
      <c r="F270" s="13"/>
      <c r="G270" s="11"/>
      <c r="H270" s="38">
        <v>-17.7</v>
      </c>
      <c r="I270" s="12">
        <v>89.5</v>
      </c>
      <c r="J270" s="2">
        <v>-89.5</v>
      </c>
      <c r="K270" s="2">
        <v>0</v>
      </c>
      <c r="L270" s="2">
        <v>359</v>
      </c>
      <c r="M270" s="32">
        <f>E272/B270</f>
        <v>299.52</v>
      </c>
      <c r="N270" s="33">
        <f>$M$5-(I270-H270)/C270</f>
        <v>103.53777777777776</v>
      </c>
      <c r="O270" s="20"/>
      <c r="P270" s="20"/>
    </row>
    <row r="271" spans="1:24" x14ac:dyDescent="0.3">
      <c r="B271" s="2"/>
      <c r="C271" s="2"/>
      <c r="D271" s="12"/>
      <c r="E271" s="13" t="s">
        <v>50</v>
      </c>
      <c r="F271" s="13"/>
      <c r="G271" s="11"/>
      <c r="H271" s="11"/>
      <c r="I271" s="12"/>
      <c r="J271" s="2"/>
      <c r="K271" s="2"/>
      <c r="L271" s="2"/>
      <c r="M271" s="12"/>
      <c r="N271" s="2"/>
      <c r="O271" s="35">
        <f>N316+$G$314</f>
        <v>193</v>
      </c>
      <c r="P271" s="35">
        <f t="shared" ref="P271:X271" si="0">O271+$G$314</f>
        <v>209</v>
      </c>
      <c r="Q271" s="35">
        <f t="shared" si="0"/>
        <v>225</v>
      </c>
      <c r="R271" s="35">
        <f t="shared" si="0"/>
        <v>241</v>
      </c>
      <c r="S271" s="35">
        <f t="shared" si="0"/>
        <v>257</v>
      </c>
      <c r="T271" s="35">
        <f t="shared" si="0"/>
        <v>273</v>
      </c>
      <c r="U271" s="35">
        <f t="shared" si="0"/>
        <v>289</v>
      </c>
      <c r="V271" s="35">
        <f t="shared" si="0"/>
        <v>305</v>
      </c>
      <c r="W271" s="35">
        <f t="shared" si="0"/>
        <v>321</v>
      </c>
      <c r="X271" s="35">
        <f t="shared" si="0"/>
        <v>337</v>
      </c>
    </row>
    <row r="272" spans="1:24" x14ac:dyDescent="0.3">
      <c r="B272" s="2"/>
      <c r="C272" s="2"/>
      <c r="D272" s="12"/>
      <c r="E272" s="13">
        <f>(180-ABS(E270))+180</f>
        <v>210.6</v>
      </c>
      <c r="F272" s="13"/>
      <c r="G272" s="11"/>
      <c r="H272" s="11"/>
      <c r="I272" s="12"/>
      <c r="J272" s="2"/>
      <c r="K272" s="2"/>
      <c r="L272" s="2"/>
      <c r="M272" s="12"/>
      <c r="N272" s="2"/>
      <c r="O272" s="35">
        <v>193</v>
      </c>
      <c r="P272" s="35">
        <v>209</v>
      </c>
      <c r="Q272" s="35">
        <v>225</v>
      </c>
      <c r="R272" s="35">
        <v>241</v>
      </c>
      <c r="S272">
        <v>257</v>
      </c>
      <c r="T272">
        <v>273</v>
      </c>
      <c r="U272">
        <v>289</v>
      </c>
      <c r="V272">
        <v>305</v>
      </c>
      <c r="W272">
        <v>321</v>
      </c>
      <c r="X272">
        <v>337</v>
      </c>
    </row>
    <row r="273" spans="1:24" x14ac:dyDescent="0.3">
      <c r="B273" s="2"/>
      <c r="C273" s="2"/>
      <c r="D273" s="35"/>
      <c r="E273" s="36"/>
      <c r="F273" s="36"/>
      <c r="G273" s="11"/>
      <c r="H273" s="11"/>
      <c r="I273" s="35"/>
      <c r="J273" s="2"/>
      <c r="K273" s="2"/>
      <c r="L273" s="2"/>
      <c r="M273" s="35"/>
      <c r="N273" s="2"/>
    </row>
    <row r="274" spans="1:24" ht="41.4" x14ac:dyDescent="0.3">
      <c r="A274" s="26" t="s">
        <v>244</v>
      </c>
      <c r="B274" s="27" t="s">
        <v>18</v>
      </c>
      <c r="C274" s="27" t="s">
        <v>19</v>
      </c>
      <c r="D274" s="28"/>
      <c r="E274" s="28" t="s">
        <v>243</v>
      </c>
      <c r="F274" s="27"/>
      <c r="G274" s="27"/>
      <c r="H274" s="27" t="s">
        <v>242</v>
      </c>
      <c r="I274" s="28" t="s">
        <v>24</v>
      </c>
      <c r="J274" s="27" t="s">
        <v>25</v>
      </c>
      <c r="K274" s="27" t="s">
        <v>26</v>
      </c>
      <c r="L274" s="27" t="s">
        <v>27</v>
      </c>
      <c r="M274" s="29" t="s">
        <v>246</v>
      </c>
      <c r="N274" s="30" t="s">
        <v>247</v>
      </c>
    </row>
    <row r="275" spans="1:24" x14ac:dyDescent="0.3">
      <c r="B275" s="2">
        <v>0.703125</v>
      </c>
      <c r="C275" s="2">
        <v>0.703125</v>
      </c>
      <c r="D275" s="35"/>
      <c r="E275">
        <v>-116.290873</v>
      </c>
      <c r="F275" s="36"/>
      <c r="G275" s="11"/>
      <c r="H275" s="11">
        <v>36.425234000000003</v>
      </c>
      <c r="I275" s="12">
        <v>89.5</v>
      </c>
      <c r="J275" s="2">
        <v>-89.5</v>
      </c>
      <c r="K275" s="2">
        <v>0</v>
      </c>
      <c r="L275" s="2">
        <v>359</v>
      </c>
      <c r="M275" s="32">
        <f>E277/B275</f>
        <v>346.60853617777775</v>
      </c>
      <c r="N275" s="33">
        <f>$M$5-(I275-H275)/C275</f>
        <v>180.51588835555555</v>
      </c>
    </row>
    <row r="276" spans="1:24" x14ac:dyDescent="0.3">
      <c r="B276" s="2"/>
      <c r="C276" s="2"/>
      <c r="D276" s="35"/>
      <c r="E276" s="36" t="s">
        <v>50</v>
      </c>
      <c r="F276" s="36"/>
      <c r="G276" s="11"/>
      <c r="H276" s="11"/>
      <c r="I276" s="35"/>
      <c r="J276" s="2"/>
      <c r="K276" s="2"/>
      <c r="L276" s="2"/>
      <c r="M276" s="35"/>
      <c r="N276" s="2"/>
    </row>
    <row r="277" spans="1:24" x14ac:dyDescent="0.3">
      <c r="B277" s="2"/>
      <c r="C277" s="2"/>
      <c r="D277" s="35"/>
      <c r="E277" s="13">
        <f>(180-ABS(E275))+180</f>
        <v>243.709127</v>
      </c>
      <c r="F277" s="36"/>
      <c r="G277" s="11"/>
      <c r="H277" s="11"/>
      <c r="I277" s="35"/>
      <c r="J277" s="2"/>
      <c r="K277" s="2"/>
      <c r="L277" s="2"/>
      <c r="M277" s="35"/>
      <c r="N277" s="2"/>
    </row>
    <row r="278" spans="1:24" ht="41.4" x14ac:dyDescent="0.3">
      <c r="A278" s="26" t="s">
        <v>245</v>
      </c>
      <c r="B278" s="27" t="s">
        <v>18</v>
      </c>
      <c r="C278" s="27" t="s">
        <v>19</v>
      </c>
      <c r="D278" s="28"/>
      <c r="E278" s="28" t="s">
        <v>243</v>
      </c>
      <c r="F278" s="27"/>
      <c r="G278" s="27"/>
      <c r="H278" s="27" t="s">
        <v>242</v>
      </c>
      <c r="I278" s="28" t="s">
        <v>24</v>
      </c>
      <c r="J278" s="27" t="s">
        <v>25</v>
      </c>
      <c r="K278" s="27" t="s">
        <v>26</v>
      </c>
      <c r="L278" s="27" t="s">
        <v>27</v>
      </c>
      <c r="M278" s="29" t="s">
        <v>246</v>
      </c>
      <c r="N278" s="30" t="s">
        <v>247</v>
      </c>
    </row>
    <row r="279" spans="1:24" x14ac:dyDescent="0.3">
      <c r="B279" s="2">
        <v>0.703125</v>
      </c>
      <c r="C279" s="2">
        <v>0.703125</v>
      </c>
      <c r="D279" s="35"/>
      <c r="E279" s="36">
        <v>-87.629798199999996</v>
      </c>
      <c r="F279" s="36"/>
      <c r="G279" s="11"/>
      <c r="H279">
        <v>41.878113599999999</v>
      </c>
      <c r="I279" s="12">
        <v>89.5</v>
      </c>
      <c r="J279" s="2">
        <v>-89.5</v>
      </c>
      <c r="K279" s="2">
        <v>0</v>
      </c>
      <c r="L279" s="2">
        <v>359</v>
      </c>
      <c r="M279" s="32">
        <f>E281/B279</f>
        <v>387.37095367111112</v>
      </c>
      <c r="N279" s="33">
        <f>$M$5-(I279-H279)/C279</f>
        <v>188.27109489777777</v>
      </c>
      <c r="O279" s="20"/>
      <c r="P279" s="20"/>
    </row>
    <row r="280" spans="1:24" x14ac:dyDescent="0.3">
      <c r="B280" s="2"/>
      <c r="C280" s="2"/>
      <c r="D280" s="35"/>
      <c r="E280" s="36" t="s">
        <v>50</v>
      </c>
      <c r="F280" s="36"/>
      <c r="G280" s="11"/>
      <c r="H280" s="11"/>
      <c r="I280" s="35"/>
      <c r="J280" s="2"/>
      <c r="K280" s="2"/>
      <c r="L280" s="2"/>
      <c r="M280" s="35"/>
      <c r="N280" s="2"/>
      <c r="O280" s="20"/>
      <c r="P280" s="20"/>
    </row>
    <row r="281" spans="1:24" x14ac:dyDescent="0.3">
      <c r="B281" s="2"/>
      <c r="C281" s="2"/>
      <c r="D281" s="35"/>
      <c r="E281" s="13">
        <f>(180-ABS(E279))+180</f>
        <v>272.37020180000002</v>
      </c>
      <c r="F281" s="36"/>
      <c r="G281" s="11"/>
      <c r="H281" s="11"/>
      <c r="I281" s="35"/>
      <c r="J281" s="2"/>
      <c r="K281" s="2"/>
      <c r="L281" s="2"/>
      <c r="M281" s="35"/>
      <c r="N281" s="2"/>
      <c r="O281" s="20"/>
      <c r="P281" s="20"/>
    </row>
    <row r="282" spans="1:24" x14ac:dyDescent="0.3">
      <c r="B282" s="2"/>
      <c r="C282" s="2"/>
      <c r="D282" s="35"/>
      <c r="E282" s="36"/>
      <c r="F282" s="36"/>
      <c r="G282" s="11"/>
      <c r="H282" s="11"/>
      <c r="I282" s="35"/>
      <c r="J282" s="2"/>
      <c r="K282" s="2"/>
      <c r="L282" s="2"/>
      <c r="M282" s="35"/>
      <c r="N282" s="2"/>
      <c r="O282" s="35">
        <f>N327+$G$325</f>
        <v>193</v>
      </c>
      <c r="P282" s="35">
        <f t="shared" ref="P282:X282" si="1">O282+$G$325</f>
        <v>209</v>
      </c>
      <c r="Q282" s="35">
        <f t="shared" si="1"/>
        <v>225</v>
      </c>
      <c r="R282" s="35">
        <f t="shared" si="1"/>
        <v>241</v>
      </c>
      <c r="S282" s="35">
        <f t="shared" si="1"/>
        <v>257</v>
      </c>
      <c r="T282" s="35">
        <f t="shared" si="1"/>
        <v>273</v>
      </c>
      <c r="U282" s="35">
        <f t="shared" si="1"/>
        <v>289</v>
      </c>
      <c r="V282" s="35">
        <f t="shared" si="1"/>
        <v>305</v>
      </c>
      <c r="W282" s="35">
        <f t="shared" si="1"/>
        <v>321</v>
      </c>
      <c r="X282" s="35">
        <f t="shared" si="1"/>
        <v>337</v>
      </c>
    </row>
    <row r="283" spans="1:24" ht="41.4" x14ac:dyDescent="0.3">
      <c r="A283" s="26" t="s">
        <v>248</v>
      </c>
      <c r="B283" s="27" t="s">
        <v>18</v>
      </c>
      <c r="C283" s="27" t="s">
        <v>19</v>
      </c>
      <c r="D283" s="28"/>
      <c r="E283" s="28" t="s">
        <v>243</v>
      </c>
      <c r="F283" s="27"/>
      <c r="G283" s="27"/>
      <c r="H283" s="27" t="s">
        <v>242</v>
      </c>
      <c r="I283" s="28" t="s">
        <v>24</v>
      </c>
      <c r="J283" s="27" t="s">
        <v>25</v>
      </c>
      <c r="K283" s="27" t="s">
        <v>26</v>
      </c>
      <c r="L283" s="27" t="s">
        <v>27</v>
      </c>
      <c r="M283" s="29" t="s">
        <v>246</v>
      </c>
      <c r="N283" s="30" t="s">
        <v>247</v>
      </c>
      <c r="O283" s="35">
        <v>193</v>
      </c>
      <c r="P283" s="35">
        <v>209</v>
      </c>
      <c r="Q283" s="35">
        <v>225</v>
      </c>
      <c r="R283" s="35">
        <v>241</v>
      </c>
      <c r="S283">
        <v>257</v>
      </c>
      <c r="T283">
        <v>273</v>
      </c>
      <c r="U283">
        <v>289</v>
      </c>
      <c r="V283">
        <v>305</v>
      </c>
      <c r="W283">
        <v>321</v>
      </c>
      <c r="X283">
        <v>337</v>
      </c>
    </row>
    <row r="284" spans="1:24" x14ac:dyDescent="0.3">
      <c r="B284" s="2">
        <v>0.703125</v>
      </c>
      <c r="C284" s="2">
        <v>0.703125</v>
      </c>
      <c r="D284" s="35"/>
      <c r="E284" s="36">
        <v>-113.80706240000001</v>
      </c>
      <c r="F284" s="36"/>
      <c r="G284" s="11"/>
      <c r="H284">
        <v>48.6960847</v>
      </c>
      <c r="I284" s="12">
        <v>89.5</v>
      </c>
      <c r="J284" s="2">
        <v>-89.5</v>
      </c>
      <c r="K284" s="2">
        <v>0</v>
      </c>
      <c r="L284" s="2">
        <v>359</v>
      </c>
      <c r="M284" s="32">
        <f>E286/B284</f>
        <v>350.14106680888887</v>
      </c>
      <c r="N284" s="33">
        <f>$M$5-(I284-H284)/C284</f>
        <v>197.96776490666667</v>
      </c>
    </row>
    <row r="285" spans="1:24" x14ac:dyDescent="0.3">
      <c r="B285" s="2"/>
      <c r="C285" s="2"/>
      <c r="D285" s="35"/>
      <c r="E285" s="36">
        <v>-113.80706240000001</v>
      </c>
      <c r="F285" s="36"/>
      <c r="G285" s="11"/>
      <c r="H285" s="11"/>
      <c r="I285" s="35"/>
      <c r="J285" s="2"/>
      <c r="K285" s="2"/>
      <c r="L285" s="2"/>
      <c r="M285" s="35"/>
      <c r="N285" s="2"/>
    </row>
    <row r="286" spans="1:24" x14ac:dyDescent="0.3">
      <c r="B286" s="2"/>
      <c r="C286" s="2"/>
      <c r="D286" s="35"/>
      <c r="E286" s="13">
        <f>(180-ABS(E284))+180</f>
        <v>246.19293759999999</v>
      </c>
      <c r="F286" s="36"/>
      <c r="G286" s="11"/>
      <c r="H286" s="11"/>
      <c r="I286" s="35"/>
      <c r="J286" s="2"/>
      <c r="K286" s="2"/>
      <c r="L286" s="2"/>
      <c r="M286" s="35"/>
      <c r="N286" s="2"/>
    </row>
    <row r="287" spans="1:24" x14ac:dyDescent="0.3">
      <c r="D287" s="34"/>
      <c r="E287" s="36"/>
      <c r="F287" s="36"/>
      <c r="G287" s="11"/>
      <c r="H287" s="11"/>
      <c r="I287" s="35"/>
      <c r="J287" s="2"/>
      <c r="K287" s="2"/>
      <c r="L287" s="2"/>
      <c r="M287" s="35"/>
      <c r="N287" s="2"/>
    </row>
    <row r="288" spans="1:24" x14ac:dyDescent="0.3">
      <c r="D288" s="34"/>
      <c r="E288" s="36"/>
      <c r="F288" s="36"/>
      <c r="G288" s="11"/>
      <c r="H288" s="11"/>
      <c r="I288" s="35"/>
      <c r="J288" s="2"/>
      <c r="K288" s="2"/>
      <c r="L288" s="2"/>
      <c r="M288" s="35"/>
      <c r="N288" s="2"/>
    </row>
    <row r="289" spans="1:16" ht="18" x14ac:dyDescent="0.35">
      <c r="A289" s="50" t="s">
        <v>135</v>
      </c>
      <c r="D289" s="34"/>
      <c r="E289" s="36"/>
      <c r="F289" s="36"/>
      <c r="G289" s="11"/>
      <c r="H289" s="11"/>
      <c r="I289" s="35"/>
      <c r="J289" s="2"/>
      <c r="K289" s="2"/>
      <c r="L289" s="2"/>
      <c r="M289" s="35"/>
      <c r="N289" s="2"/>
    </row>
    <row r="290" spans="1:16" ht="18" x14ac:dyDescent="0.35">
      <c r="A290" s="50"/>
      <c r="D290" s="34"/>
      <c r="E290" s="36"/>
      <c r="F290" s="36"/>
      <c r="G290" s="11"/>
      <c r="H290" s="11"/>
      <c r="I290" s="35"/>
      <c r="J290" s="2"/>
      <c r="K290" s="2"/>
      <c r="L290" s="2"/>
      <c r="M290" s="35"/>
      <c r="N290" s="2"/>
    </row>
    <row r="291" spans="1:16" ht="18" x14ac:dyDescent="0.35">
      <c r="A291" s="50"/>
      <c r="D291" s="34"/>
      <c r="E291" s="36"/>
      <c r="F291" s="36"/>
      <c r="G291" s="11"/>
      <c r="H291" s="11"/>
      <c r="I291" s="35"/>
      <c r="J291" s="2"/>
      <c r="K291" s="2"/>
      <c r="L291" s="2"/>
      <c r="M291" s="35"/>
      <c r="N291" s="2"/>
    </row>
    <row r="292" spans="1:16" ht="18" x14ac:dyDescent="0.35">
      <c r="A292" s="50"/>
      <c r="D292" s="34"/>
      <c r="E292" s="36"/>
      <c r="F292" s="36"/>
      <c r="G292" s="11"/>
      <c r="H292" s="11"/>
      <c r="I292" s="35"/>
      <c r="J292" s="2"/>
      <c r="K292" s="2"/>
      <c r="L292" s="2"/>
      <c r="M292" s="35"/>
      <c r="N292" s="2"/>
    </row>
    <row r="293" spans="1:16" ht="18" x14ac:dyDescent="0.35">
      <c r="A293" s="50"/>
      <c r="D293" s="34"/>
      <c r="E293" s="36"/>
      <c r="F293" s="36"/>
      <c r="G293" s="11"/>
      <c r="H293" s="11"/>
      <c r="I293" s="35"/>
      <c r="J293" s="2"/>
      <c r="K293" s="2"/>
      <c r="L293" s="2"/>
      <c r="M293" s="35"/>
      <c r="N293" s="2"/>
    </row>
    <row r="294" spans="1:16" ht="18" x14ac:dyDescent="0.35">
      <c r="A294" s="50"/>
      <c r="D294" s="34"/>
      <c r="E294" s="36"/>
      <c r="F294" s="36"/>
      <c r="G294" s="11"/>
      <c r="H294" s="11"/>
      <c r="I294" s="35"/>
      <c r="J294" s="2"/>
      <c r="K294" s="2"/>
      <c r="L294" s="2"/>
      <c r="M294" s="35"/>
      <c r="N294" s="2"/>
    </row>
    <row r="295" spans="1:16" ht="96.6" x14ac:dyDescent="0.3">
      <c r="A295" s="26" t="s">
        <v>340</v>
      </c>
      <c r="B295" s="27" t="s">
        <v>18</v>
      </c>
      <c r="C295" s="27" t="s">
        <v>19</v>
      </c>
      <c r="D295" s="28"/>
      <c r="E295" s="28"/>
      <c r="F295" s="27"/>
      <c r="G295" s="27"/>
      <c r="H295" s="27" t="s">
        <v>106</v>
      </c>
      <c r="I295" s="28" t="s">
        <v>24</v>
      </c>
      <c r="J295" s="27" t="s">
        <v>25</v>
      </c>
      <c r="K295" s="27" t="s">
        <v>26</v>
      </c>
      <c r="L295" s="27" t="s">
        <v>27</v>
      </c>
      <c r="M295" s="29" t="s">
        <v>107</v>
      </c>
      <c r="N295" s="30" t="s">
        <v>108</v>
      </c>
    </row>
    <row r="296" spans="1:16" x14ac:dyDescent="0.3">
      <c r="B296" s="2">
        <v>0.703125</v>
      </c>
      <c r="C296" s="2">
        <v>0.703125</v>
      </c>
      <c r="D296" s="36"/>
      <c r="E296" s="36"/>
      <c r="F296" s="36"/>
      <c r="G296" s="11"/>
      <c r="H296" s="38">
        <v>80</v>
      </c>
      <c r="I296" s="12">
        <v>89.5</v>
      </c>
      <c r="J296" s="2">
        <v>-89.5</v>
      </c>
      <c r="K296" s="2">
        <v>0</v>
      </c>
      <c r="L296" s="2">
        <v>359</v>
      </c>
      <c r="M296" s="12"/>
      <c r="N296" s="33">
        <f>$M$5-(I296-H296)/C296</f>
        <v>242.48888888888888</v>
      </c>
      <c r="P296" s="45"/>
    </row>
    <row r="297" spans="1:16" x14ac:dyDescent="0.3">
      <c r="B297" s="4"/>
      <c r="C297" s="35"/>
      <c r="D297" s="36"/>
      <c r="E297" s="36"/>
      <c r="F297" s="36"/>
      <c r="G297" s="11"/>
      <c r="H297" s="11"/>
      <c r="I297" s="11"/>
      <c r="J297" s="2"/>
      <c r="K297" s="2"/>
      <c r="L297" s="2"/>
      <c r="M297" s="12"/>
      <c r="N297" s="2" t="s">
        <v>88</v>
      </c>
    </row>
    <row r="298" spans="1:16" x14ac:dyDescent="0.3">
      <c r="C298" s="35"/>
      <c r="D298" s="36"/>
      <c r="E298" s="36"/>
      <c r="F298" s="36"/>
      <c r="G298" s="11"/>
      <c r="H298" s="11"/>
      <c r="I298" s="11"/>
      <c r="J298" s="2"/>
      <c r="K298" s="2"/>
      <c r="L298" s="2"/>
      <c r="M298" s="12"/>
      <c r="N298" s="2"/>
    </row>
    <row r="299" spans="1:16" ht="96.6" x14ac:dyDescent="0.3">
      <c r="A299" s="26" t="s">
        <v>341</v>
      </c>
      <c r="B299" s="27" t="s">
        <v>18</v>
      </c>
      <c r="C299" s="27" t="s">
        <v>19</v>
      </c>
      <c r="D299" s="28"/>
      <c r="E299" s="28"/>
      <c r="F299" s="27"/>
      <c r="G299" s="27"/>
      <c r="H299" s="27" t="s">
        <v>106</v>
      </c>
      <c r="I299" s="28" t="s">
        <v>24</v>
      </c>
      <c r="J299" s="27" t="s">
        <v>25</v>
      </c>
      <c r="K299" s="27" t="s">
        <v>26</v>
      </c>
      <c r="L299" s="27" t="s">
        <v>27</v>
      </c>
      <c r="M299" s="29" t="s">
        <v>107</v>
      </c>
      <c r="N299" s="30" t="s">
        <v>108</v>
      </c>
    </row>
    <row r="300" spans="1:16" x14ac:dyDescent="0.3">
      <c r="B300" s="2">
        <v>0.703125</v>
      </c>
      <c r="C300" s="2">
        <v>0.703125</v>
      </c>
      <c r="D300" s="36"/>
      <c r="E300" s="36"/>
      <c r="F300" s="36"/>
      <c r="G300" s="11"/>
      <c r="H300" s="38">
        <v>-80</v>
      </c>
      <c r="I300" s="12">
        <v>89.5</v>
      </c>
      <c r="J300" s="2">
        <v>-89.5</v>
      </c>
      <c r="K300" s="2">
        <v>0</v>
      </c>
      <c r="L300" s="2">
        <v>359</v>
      </c>
      <c r="M300" s="12"/>
      <c r="N300" s="33">
        <f>$M$5-(I300-H300)/C300</f>
        <v>14.933333333333337</v>
      </c>
    </row>
    <row r="301" spans="1:16" x14ac:dyDescent="0.3">
      <c r="B301" s="4"/>
      <c r="C301" s="35"/>
      <c r="D301" s="36"/>
      <c r="E301" s="36"/>
      <c r="F301" s="36"/>
      <c r="G301" s="11"/>
      <c r="H301" s="11"/>
      <c r="I301" s="11"/>
      <c r="J301" s="2"/>
      <c r="K301" s="2"/>
      <c r="L301" s="2"/>
      <c r="M301" s="12"/>
      <c r="N301" s="2" t="s">
        <v>88</v>
      </c>
    </row>
    <row r="302" spans="1:16" x14ac:dyDescent="0.3">
      <c r="D302" s="34"/>
      <c r="E302" s="36"/>
      <c r="F302" s="36"/>
      <c r="G302" s="11"/>
      <c r="H302" s="11"/>
      <c r="I302" s="35"/>
      <c r="J302" s="2"/>
      <c r="K302" s="2"/>
      <c r="L302" s="2"/>
      <c r="M302" s="35"/>
      <c r="N302" s="2"/>
    </row>
    <row r="303" spans="1:16" ht="18" x14ac:dyDescent="0.35">
      <c r="A303" s="50"/>
      <c r="D303" s="34"/>
      <c r="E303" s="36"/>
      <c r="F303" s="36"/>
      <c r="G303" s="11"/>
      <c r="H303" s="11"/>
      <c r="I303" s="35"/>
      <c r="J303" s="2"/>
      <c r="K303" s="2"/>
      <c r="L303" s="2"/>
      <c r="M303" s="35"/>
      <c r="N303" s="2"/>
    </row>
    <row r="304" spans="1:16" ht="18" x14ac:dyDescent="0.35">
      <c r="A304" s="50"/>
      <c r="D304" s="34"/>
      <c r="E304" s="36"/>
      <c r="F304" s="36"/>
      <c r="G304" s="11"/>
      <c r="H304" s="11"/>
      <c r="I304" s="35"/>
      <c r="J304" s="2"/>
      <c r="K304" s="2"/>
      <c r="L304" s="2"/>
      <c r="M304" s="35"/>
      <c r="N304" s="2"/>
    </row>
    <row r="305" spans="1:18" ht="18" x14ac:dyDescent="0.35">
      <c r="A305" s="50"/>
      <c r="D305" s="34"/>
      <c r="E305" s="36"/>
      <c r="F305" s="36"/>
      <c r="G305" s="11"/>
      <c r="H305" s="11"/>
      <c r="I305" s="35"/>
      <c r="J305" s="2"/>
      <c r="K305" s="2"/>
      <c r="L305" s="2"/>
      <c r="M305" s="35"/>
      <c r="N305" s="2"/>
    </row>
    <row r="306" spans="1:18" ht="18" x14ac:dyDescent="0.35">
      <c r="A306" s="50"/>
      <c r="D306" s="34"/>
      <c r="E306" s="36"/>
      <c r="F306" s="36"/>
      <c r="G306" s="11"/>
      <c r="H306" s="11"/>
      <c r="I306" s="35"/>
      <c r="J306" s="2"/>
      <c r="K306" s="2"/>
      <c r="L306" s="2"/>
      <c r="M306" s="35"/>
      <c r="N306" s="2"/>
    </row>
    <row r="307" spans="1:18" x14ac:dyDescent="0.3">
      <c r="D307" s="34"/>
      <c r="E307" s="36"/>
      <c r="F307" s="36"/>
      <c r="G307" s="11"/>
      <c r="H307" s="11"/>
      <c r="I307" s="35"/>
      <c r="J307" s="2"/>
      <c r="K307" s="2"/>
      <c r="L307" s="2"/>
      <c r="M307" s="35"/>
      <c r="N307" s="2"/>
    </row>
    <row r="308" spans="1:18" ht="96.6" x14ac:dyDescent="0.3">
      <c r="A308" s="26" t="s">
        <v>104</v>
      </c>
      <c r="B308" s="27" t="s">
        <v>18</v>
      </c>
      <c r="C308" s="27" t="s">
        <v>19</v>
      </c>
      <c r="D308" s="28"/>
      <c r="E308" s="28" t="s">
        <v>105</v>
      </c>
      <c r="F308" s="27"/>
      <c r="G308" s="27"/>
      <c r="H308" s="27" t="s">
        <v>106</v>
      </c>
      <c r="I308" s="28" t="s">
        <v>24</v>
      </c>
      <c r="J308" s="27" t="s">
        <v>25</v>
      </c>
      <c r="K308" s="27" t="s">
        <v>26</v>
      </c>
      <c r="L308" s="27" t="s">
        <v>27</v>
      </c>
      <c r="M308" s="29" t="s">
        <v>107</v>
      </c>
      <c r="N308" s="30" t="s">
        <v>108</v>
      </c>
      <c r="P308" t="s">
        <v>125</v>
      </c>
      <c r="R308" t="s">
        <v>126</v>
      </c>
    </row>
    <row r="309" spans="1:18" x14ac:dyDescent="0.3">
      <c r="B309" s="2">
        <v>0.703125</v>
      </c>
      <c r="C309" s="2">
        <v>0.703125</v>
      </c>
      <c r="D309" s="15"/>
      <c r="E309" s="39">
        <v>90</v>
      </c>
      <c r="F309" s="13"/>
      <c r="G309" s="11"/>
      <c r="H309" s="38">
        <v>13</v>
      </c>
      <c r="I309" s="12">
        <v>89.5</v>
      </c>
      <c r="J309" s="2">
        <v>-89.5</v>
      </c>
      <c r="K309" s="2">
        <v>0</v>
      </c>
      <c r="L309" s="2">
        <v>359</v>
      </c>
      <c r="M309" s="32">
        <f>E311/B309</f>
        <v>128</v>
      </c>
      <c r="N309" s="33">
        <f>$M$5-(I309-H309)/C309</f>
        <v>147.19999999999999</v>
      </c>
      <c r="P309" s="45">
        <f>N335-N340</f>
        <v>71.111111111111114</v>
      </c>
      <c r="R309">
        <f>P309*C335</f>
        <v>50</v>
      </c>
    </row>
    <row r="310" spans="1:18" x14ac:dyDescent="0.3">
      <c r="B310" s="4"/>
      <c r="C310" s="4"/>
      <c r="D310" s="15"/>
      <c r="E310" s="13" t="s">
        <v>50</v>
      </c>
      <c r="F310" s="13" t="s">
        <v>71</v>
      </c>
      <c r="G310" s="11"/>
      <c r="H310" s="11"/>
      <c r="I310" s="12"/>
      <c r="J310" s="2"/>
      <c r="K310" s="2"/>
      <c r="L310" s="2"/>
      <c r="M310" s="12" t="s">
        <v>88</v>
      </c>
      <c r="N310" s="2" t="s">
        <v>88</v>
      </c>
    </row>
    <row r="311" spans="1:18" x14ac:dyDescent="0.3">
      <c r="D311" s="15"/>
      <c r="E311" s="13">
        <f>E309</f>
        <v>90</v>
      </c>
      <c r="F311" s="13" t="s">
        <v>72</v>
      </c>
      <c r="G311" s="11"/>
      <c r="H311" s="11"/>
      <c r="I311" s="12"/>
      <c r="J311" s="2"/>
      <c r="K311" s="2"/>
      <c r="L311" s="2"/>
      <c r="M311" s="12"/>
      <c r="N311" s="2"/>
    </row>
    <row r="312" spans="1:18" x14ac:dyDescent="0.3">
      <c r="D312" s="34"/>
      <c r="E312" s="36"/>
      <c r="F312" s="36"/>
      <c r="G312" s="11"/>
      <c r="H312" s="11"/>
      <c r="I312" s="35"/>
      <c r="J312" s="2"/>
      <c r="K312" s="2"/>
      <c r="L312" s="2"/>
      <c r="M312" s="35"/>
      <c r="N312" s="2"/>
    </row>
    <row r="313" spans="1:18" x14ac:dyDescent="0.3">
      <c r="B313" s="2" t="s">
        <v>109</v>
      </c>
      <c r="C313" s="2"/>
      <c r="D313" s="35" t="s">
        <v>110</v>
      </c>
      <c r="E313" s="36" t="s">
        <v>111</v>
      </c>
      <c r="F313" s="36" t="s">
        <v>112</v>
      </c>
      <c r="G313" s="11" t="s">
        <v>113</v>
      </c>
      <c r="H313" s="11"/>
      <c r="I313" s="35"/>
      <c r="J313" s="2"/>
      <c r="K313" s="2"/>
      <c r="L313" s="2"/>
      <c r="M313" s="35"/>
      <c r="N313" s="2"/>
    </row>
    <row r="314" spans="1:18" x14ac:dyDescent="0.3">
      <c r="B314" s="2">
        <v>256</v>
      </c>
      <c r="C314" s="2"/>
      <c r="D314" s="35">
        <v>1</v>
      </c>
      <c r="E314" s="36">
        <v>256</v>
      </c>
      <c r="F314" s="36">
        <v>16</v>
      </c>
      <c r="G314" s="11">
        <f>B314/F314</f>
        <v>16</v>
      </c>
      <c r="H314" s="11"/>
      <c r="I314" s="35"/>
      <c r="J314" s="2"/>
      <c r="K314" s="2"/>
      <c r="L314" s="2"/>
      <c r="M314" s="35"/>
      <c r="N314" s="2"/>
    </row>
    <row r="315" spans="1:18" x14ac:dyDescent="0.3">
      <c r="B315" s="2"/>
      <c r="C315" s="2"/>
      <c r="D315" s="35"/>
      <c r="E315" s="36"/>
      <c r="F315" s="36"/>
      <c r="G315" s="11"/>
      <c r="H315" s="11"/>
      <c r="I315" s="35"/>
      <c r="J315" s="2"/>
      <c r="K315" s="2"/>
      <c r="L315" s="2"/>
      <c r="M315" s="35"/>
      <c r="N315" s="2"/>
    </row>
    <row r="316" spans="1:18" x14ac:dyDescent="0.3">
      <c r="B316" s="2" t="s">
        <v>109</v>
      </c>
      <c r="C316" s="2">
        <v>1</v>
      </c>
      <c r="D316" s="35">
        <f t="shared" ref="D316:N316" si="2">C316+$G$314</f>
        <v>17</v>
      </c>
      <c r="E316" s="35">
        <f t="shared" si="2"/>
        <v>33</v>
      </c>
      <c r="F316" s="35">
        <f t="shared" si="2"/>
        <v>49</v>
      </c>
      <c r="G316" s="35">
        <f t="shared" si="2"/>
        <v>65</v>
      </c>
      <c r="H316" s="35">
        <f t="shared" si="2"/>
        <v>81</v>
      </c>
      <c r="I316" s="35">
        <f t="shared" si="2"/>
        <v>97</v>
      </c>
      <c r="J316" s="35">
        <f t="shared" si="2"/>
        <v>113</v>
      </c>
      <c r="K316" s="35">
        <f t="shared" si="2"/>
        <v>129</v>
      </c>
      <c r="L316" s="35">
        <f t="shared" si="2"/>
        <v>145</v>
      </c>
      <c r="M316" s="35">
        <f t="shared" si="2"/>
        <v>161</v>
      </c>
      <c r="N316" s="35">
        <f t="shared" si="2"/>
        <v>177</v>
      </c>
    </row>
    <row r="317" spans="1:18" x14ac:dyDescent="0.3">
      <c r="B317" s="2" t="s">
        <v>114</v>
      </c>
      <c r="C317" s="2">
        <v>1</v>
      </c>
      <c r="D317" s="35">
        <v>17</v>
      </c>
      <c r="E317" s="35">
        <v>33</v>
      </c>
      <c r="F317" s="35">
        <v>49</v>
      </c>
      <c r="G317" s="35">
        <v>65</v>
      </c>
      <c r="H317" s="35">
        <v>81</v>
      </c>
      <c r="I317" s="35">
        <v>97</v>
      </c>
      <c r="J317" s="35">
        <v>113</v>
      </c>
      <c r="K317" s="35">
        <v>129</v>
      </c>
      <c r="L317" s="35">
        <v>145</v>
      </c>
      <c r="M317" s="35">
        <v>161</v>
      </c>
      <c r="N317" s="35">
        <v>177</v>
      </c>
      <c r="O317" s="20"/>
      <c r="P317" s="20"/>
    </row>
    <row r="318" spans="1:18" x14ac:dyDescent="0.3">
      <c r="D318" s="34"/>
      <c r="E318" s="36"/>
      <c r="F318" s="36"/>
      <c r="G318" s="11"/>
      <c r="H318" s="11"/>
      <c r="I318" s="35"/>
      <c r="J318" s="2"/>
      <c r="K318" s="2"/>
      <c r="L318" s="2"/>
      <c r="M318" s="35"/>
      <c r="N318" s="2"/>
      <c r="O318" s="20"/>
      <c r="P318" s="20"/>
    </row>
    <row r="319" spans="1:18" ht="82.8" x14ac:dyDescent="0.3">
      <c r="A319" s="26" t="s">
        <v>127</v>
      </c>
      <c r="B319" s="27" t="s">
        <v>18</v>
      </c>
      <c r="C319" s="27" t="s">
        <v>19</v>
      </c>
      <c r="D319" s="28"/>
      <c r="E319" s="28" t="s">
        <v>129</v>
      </c>
      <c r="F319" s="27"/>
      <c r="G319" s="27"/>
      <c r="H319" s="27" t="s">
        <v>128</v>
      </c>
      <c r="I319" s="28" t="s">
        <v>24</v>
      </c>
      <c r="J319" s="27" t="s">
        <v>25</v>
      </c>
      <c r="K319" s="27" t="s">
        <v>26</v>
      </c>
      <c r="L319" s="27" t="s">
        <v>27</v>
      </c>
      <c r="M319" s="29" t="s">
        <v>130</v>
      </c>
      <c r="N319" s="30" t="s">
        <v>131</v>
      </c>
      <c r="O319" s="20"/>
      <c r="P319" s="20"/>
    </row>
    <row r="320" spans="1:18" x14ac:dyDescent="0.3">
      <c r="B320" s="2">
        <v>0.703125</v>
      </c>
      <c r="C320" s="2">
        <v>0.703125</v>
      </c>
      <c r="D320" s="15"/>
      <c r="E320" s="39">
        <v>-90</v>
      </c>
      <c r="F320" s="13"/>
      <c r="G320" s="11"/>
      <c r="H320" s="38">
        <v>13</v>
      </c>
      <c r="I320" s="12">
        <v>89.5</v>
      </c>
      <c r="J320" s="2">
        <v>-89.5</v>
      </c>
      <c r="K320" s="2">
        <v>0</v>
      </c>
      <c r="L320" s="2">
        <v>359</v>
      </c>
      <c r="M320" s="32">
        <f>E322/B320</f>
        <v>384</v>
      </c>
      <c r="N320" s="33">
        <f>$M$5-(I320-H320)/C320</f>
        <v>147.19999999999999</v>
      </c>
      <c r="O320" s="11">
        <f>N348+1</f>
        <v>10</v>
      </c>
      <c r="P320" s="11">
        <f>O320+1</f>
        <v>11</v>
      </c>
      <c r="Q320" s="11">
        <f>P320+1</f>
        <v>12</v>
      </c>
      <c r="R320" s="11">
        <f>Q320+1</f>
        <v>13</v>
      </c>
    </row>
    <row r="321" spans="1:18" x14ac:dyDescent="0.3">
      <c r="B321" s="4"/>
      <c r="C321" s="4"/>
      <c r="D321" s="15"/>
      <c r="E321" s="13" t="s">
        <v>50</v>
      </c>
      <c r="F321" s="13" t="s">
        <v>71</v>
      </c>
      <c r="G321" s="11"/>
      <c r="H321" s="11"/>
      <c r="I321" s="12"/>
      <c r="J321" s="2"/>
      <c r="K321" s="2"/>
      <c r="L321" s="2"/>
      <c r="M321" s="12" t="s">
        <v>88</v>
      </c>
      <c r="N321" s="2" t="s">
        <v>88</v>
      </c>
      <c r="O321" s="11">
        <f>N349+30</f>
        <v>270</v>
      </c>
      <c r="P321" s="11">
        <f>O321+30</f>
        <v>300</v>
      </c>
      <c r="Q321" s="11">
        <f>P321+30</f>
        <v>330</v>
      </c>
      <c r="R321" s="11">
        <f>Q321+30</f>
        <v>360</v>
      </c>
    </row>
    <row r="322" spans="1:18" x14ac:dyDescent="0.3">
      <c r="D322" s="15"/>
      <c r="E322" s="13">
        <f>(180-ABS(E320))+180</f>
        <v>270</v>
      </c>
      <c r="F322" s="13" t="s">
        <v>72</v>
      </c>
      <c r="G322" s="11"/>
      <c r="H322" s="11"/>
      <c r="I322" s="12"/>
      <c r="J322" s="2"/>
      <c r="K322" s="2"/>
      <c r="L322" s="2"/>
      <c r="M322" s="12"/>
      <c r="N322" s="2"/>
      <c r="O322" s="36">
        <f>O321/$B$346</f>
        <v>384</v>
      </c>
      <c r="P322" s="36">
        <f>P321/$B$346</f>
        <v>426.66666666666669</v>
      </c>
      <c r="Q322" s="36">
        <f>Q321/$B$346</f>
        <v>469.33333333333331</v>
      </c>
      <c r="R322" s="36">
        <f>R321/$B$346</f>
        <v>512</v>
      </c>
    </row>
    <row r="323" spans="1:18" x14ac:dyDescent="0.3">
      <c r="D323" s="34"/>
      <c r="E323" s="36"/>
      <c r="F323" s="36"/>
      <c r="G323" s="11"/>
      <c r="H323" s="11"/>
      <c r="I323" s="35"/>
      <c r="J323" s="2"/>
      <c r="K323" s="2"/>
      <c r="L323" s="2"/>
      <c r="M323" s="35"/>
      <c r="N323" s="2"/>
      <c r="O323" s="20"/>
      <c r="P323" s="20"/>
    </row>
    <row r="324" spans="1:18" x14ac:dyDescent="0.3">
      <c r="B324" s="2" t="s">
        <v>109</v>
      </c>
      <c r="C324" s="2"/>
      <c r="D324" s="35" t="s">
        <v>110</v>
      </c>
      <c r="E324" s="36" t="s">
        <v>111</v>
      </c>
      <c r="F324" s="36" t="s">
        <v>112</v>
      </c>
      <c r="G324" s="11" t="s">
        <v>113</v>
      </c>
      <c r="H324" s="11"/>
      <c r="I324" s="35"/>
      <c r="J324" s="2"/>
      <c r="K324" s="2"/>
      <c r="L324" s="2"/>
      <c r="M324" s="35"/>
      <c r="N324" s="2"/>
      <c r="O324" s="20"/>
      <c r="P324" s="20"/>
    </row>
    <row r="325" spans="1:18" x14ac:dyDescent="0.3">
      <c r="B325" s="2">
        <v>256</v>
      </c>
      <c r="C325" s="2"/>
      <c r="D325" s="35">
        <v>1</v>
      </c>
      <c r="E325" s="36">
        <v>256</v>
      </c>
      <c r="F325" s="36">
        <v>16</v>
      </c>
      <c r="G325" s="11">
        <f>B325/F325</f>
        <v>16</v>
      </c>
      <c r="H325" s="11"/>
      <c r="I325" s="35"/>
      <c r="J325" s="2"/>
      <c r="K325" s="2"/>
      <c r="L325" s="2"/>
      <c r="M325" s="35"/>
      <c r="N325" s="2"/>
      <c r="O325" s="20"/>
      <c r="P325" s="20"/>
    </row>
    <row r="326" spans="1:18" x14ac:dyDescent="0.3">
      <c r="B326" s="2"/>
      <c r="C326" s="2"/>
      <c r="D326" s="35"/>
      <c r="E326" s="36"/>
      <c r="F326" s="36"/>
      <c r="G326" s="11"/>
      <c r="H326" s="11"/>
      <c r="I326" s="35"/>
      <c r="J326" s="2"/>
      <c r="K326" s="2"/>
      <c r="L326" s="2"/>
      <c r="M326" s="35"/>
      <c r="N326" s="2"/>
      <c r="O326" s="20"/>
      <c r="P326" s="20"/>
    </row>
    <row r="327" spans="1:18" x14ac:dyDescent="0.3">
      <c r="B327" s="2" t="s">
        <v>109</v>
      </c>
      <c r="C327" s="2">
        <v>1</v>
      </c>
      <c r="D327" s="35">
        <f t="shared" ref="D327:N327" si="3">C327+$G$325</f>
        <v>17</v>
      </c>
      <c r="E327" s="35">
        <f t="shared" si="3"/>
        <v>33</v>
      </c>
      <c r="F327" s="35">
        <f t="shared" si="3"/>
        <v>49</v>
      </c>
      <c r="G327" s="35">
        <f t="shared" si="3"/>
        <v>65</v>
      </c>
      <c r="H327" s="35">
        <f t="shared" si="3"/>
        <v>81</v>
      </c>
      <c r="I327" s="35">
        <f t="shared" si="3"/>
        <v>97</v>
      </c>
      <c r="J327" s="35">
        <f t="shared" si="3"/>
        <v>113</v>
      </c>
      <c r="K327" s="35">
        <f t="shared" si="3"/>
        <v>129</v>
      </c>
      <c r="L327" s="35">
        <f t="shared" si="3"/>
        <v>145</v>
      </c>
      <c r="M327" s="35">
        <f t="shared" si="3"/>
        <v>161</v>
      </c>
      <c r="N327" s="35">
        <f t="shared" si="3"/>
        <v>177</v>
      </c>
      <c r="O327" s="20"/>
      <c r="P327" s="20"/>
    </row>
    <row r="328" spans="1:18" x14ac:dyDescent="0.3">
      <c r="B328" s="2" t="s">
        <v>114</v>
      </c>
      <c r="C328" s="2">
        <v>1</v>
      </c>
      <c r="D328" s="35">
        <v>17</v>
      </c>
      <c r="E328" s="35">
        <v>33</v>
      </c>
      <c r="F328" s="35">
        <v>49</v>
      </c>
      <c r="G328" s="35">
        <v>65</v>
      </c>
      <c r="H328" s="35">
        <v>81</v>
      </c>
      <c r="I328" s="35">
        <v>97</v>
      </c>
      <c r="J328" s="35">
        <v>113</v>
      </c>
      <c r="K328" s="35">
        <v>129</v>
      </c>
      <c r="L328" s="35">
        <v>145</v>
      </c>
      <c r="M328" s="35">
        <v>161</v>
      </c>
      <c r="N328" s="35">
        <v>177</v>
      </c>
      <c r="O328" s="20"/>
      <c r="P328" s="20"/>
    </row>
    <row r="329" spans="1:18" x14ac:dyDescent="0.3">
      <c r="D329" s="34"/>
      <c r="E329" s="36"/>
      <c r="F329" s="36"/>
      <c r="G329" s="11"/>
      <c r="H329" s="11"/>
      <c r="I329" s="35"/>
      <c r="J329" s="2"/>
      <c r="K329" s="2"/>
      <c r="L329" s="2"/>
      <c r="M329" s="35"/>
      <c r="N329" s="2"/>
      <c r="O329" s="11">
        <f>N357+1</f>
        <v>10</v>
      </c>
      <c r="P329" s="11">
        <f>O329+1</f>
        <v>11</v>
      </c>
      <c r="Q329" s="11">
        <f>P329+1</f>
        <v>12</v>
      </c>
      <c r="R329" s="11">
        <f>Q329+1</f>
        <v>13</v>
      </c>
    </row>
    <row r="330" spans="1:18" x14ac:dyDescent="0.3">
      <c r="D330" s="34"/>
      <c r="E330" s="36"/>
      <c r="F330" s="36"/>
      <c r="G330" s="11"/>
      <c r="H330" s="11"/>
      <c r="I330" s="35"/>
      <c r="J330" s="2"/>
      <c r="K330" s="2"/>
      <c r="L330" s="2"/>
      <c r="M330" s="35"/>
      <c r="N330" s="2"/>
      <c r="O330" s="11">
        <f>N358+15</f>
        <v>135</v>
      </c>
      <c r="P330" s="11">
        <f>O330+15</f>
        <v>150</v>
      </c>
      <c r="Q330" s="11">
        <f>P330+15</f>
        <v>165</v>
      </c>
      <c r="R330" s="11">
        <f>Q330+15</f>
        <v>180</v>
      </c>
    </row>
    <row r="331" spans="1:18" x14ac:dyDescent="0.3">
      <c r="D331" s="34"/>
      <c r="E331" s="36"/>
      <c r="F331" s="36"/>
      <c r="G331" s="11"/>
      <c r="H331" s="11"/>
      <c r="I331" s="35"/>
      <c r="J331" s="2"/>
      <c r="K331" s="2"/>
      <c r="L331" s="2"/>
      <c r="M331" s="35"/>
      <c r="N331" s="2"/>
      <c r="O331" s="36">
        <f>O330/$B$355</f>
        <v>192</v>
      </c>
      <c r="P331" s="36">
        <f>P330/$B$355</f>
        <v>213.33333333333334</v>
      </c>
      <c r="Q331" s="36">
        <f>Q330/$B$355</f>
        <v>234.66666666666666</v>
      </c>
      <c r="R331" s="36">
        <f>R330/$B$355</f>
        <v>256</v>
      </c>
    </row>
    <row r="332" spans="1:18" x14ac:dyDescent="0.3">
      <c r="O332" s="20"/>
      <c r="P332" s="20"/>
    </row>
    <row r="333" spans="1:18" x14ac:dyDescent="0.3">
      <c r="O333" s="20"/>
      <c r="P333" s="20"/>
    </row>
    <row r="334" spans="1:18" ht="69" x14ac:dyDescent="0.3">
      <c r="A334" s="25" t="s">
        <v>115</v>
      </c>
      <c r="B334" s="8" t="s">
        <v>18</v>
      </c>
      <c r="C334" s="8" t="s">
        <v>19</v>
      </c>
      <c r="D334" s="15"/>
      <c r="E334" s="28" t="s">
        <v>116</v>
      </c>
      <c r="F334" s="27"/>
      <c r="G334" s="27"/>
      <c r="H334" s="27" t="s">
        <v>117</v>
      </c>
      <c r="I334" s="28" t="s">
        <v>24</v>
      </c>
      <c r="J334" s="27" t="s">
        <v>25</v>
      </c>
      <c r="K334" s="27" t="s">
        <v>26</v>
      </c>
      <c r="L334" s="27" t="s">
        <v>27</v>
      </c>
      <c r="M334" s="29" t="s">
        <v>118</v>
      </c>
      <c r="N334" s="30" t="s">
        <v>119</v>
      </c>
      <c r="O334" s="35">
        <f>O330-90</f>
        <v>45</v>
      </c>
      <c r="P334" s="35">
        <f>P330-90</f>
        <v>60</v>
      </c>
      <c r="Q334" s="35">
        <f>Q330-90</f>
        <v>75</v>
      </c>
      <c r="R334" s="35">
        <f>R330-90</f>
        <v>90</v>
      </c>
    </row>
    <row r="335" spans="1:18" x14ac:dyDescent="0.3">
      <c r="B335" s="2">
        <v>0.703125</v>
      </c>
      <c r="C335" s="2">
        <v>0.703125</v>
      </c>
      <c r="D335" s="15"/>
      <c r="E335" s="39">
        <v>-130</v>
      </c>
      <c r="F335" s="13"/>
      <c r="G335" s="11"/>
      <c r="H335" s="38">
        <v>30</v>
      </c>
      <c r="I335" s="12">
        <v>89.5</v>
      </c>
      <c r="J335" s="2">
        <v>-89.5</v>
      </c>
      <c r="K335" s="2">
        <v>0</v>
      </c>
      <c r="L335" s="2">
        <v>359</v>
      </c>
      <c r="M335" s="32">
        <f>E337/B335</f>
        <v>327.11111111111109</v>
      </c>
      <c r="N335" s="33">
        <f>$M$5-(I335-H335)/C335</f>
        <v>171.37777777777779</v>
      </c>
    </row>
    <row r="336" spans="1:18" x14ac:dyDescent="0.3">
      <c r="B336" s="4"/>
      <c r="C336" s="4"/>
      <c r="D336" s="15"/>
      <c r="E336" s="13" t="s">
        <v>50</v>
      </c>
      <c r="F336" s="13"/>
      <c r="G336" s="11"/>
      <c r="H336" s="11"/>
      <c r="I336" s="12"/>
      <c r="J336" s="2"/>
      <c r="K336" s="2"/>
      <c r="L336" s="2"/>
      <c r="M336" s="12" t="s">
        <v>88</v>
      </c>
      <c r="N336" s="2" t="s">
        <v>88</v>
      </c>
    </row>
    <row r="337" spans="1:14" x14ac:dyDescent="0.3">
      <c r="D337" s="15"/>
      <c r="E337" s="13">
        <f>(180-ABS(E335))+180</f>
        <v>230</v>
      </c>
      <c r="F337" s="13"/>
      <c r="G337" s="11"/>
      <c r="H337" s="11"/>
      <c r="I337" s="12"/>
      <c r="J337" s="2"/>
      <c r="K337" s="2"/>
      <c r="L337" s="2"/>
      <c r="M337" s="12"/>
      <c r="N337" s="2"/>
    </row>
    <row r="339" spans="1:14" ht="82.8" x14ac:dyDescent="0.3">
      <c r="A339" s="25" t="s">
        <v>120</v>
      </c>
      <c r="B339" s="8" t="s">
        <v>18</v>
      </c>
      <c r="C339" s="8" t="s">
        <v>19</v>
      </c>
      <c r="D339" s="15"/>
      <c r="E339" s="28" t="s">
        <v>121</v>
      </c>
      <c r="F339" s="27"/>
      <c r="G339" s="27"/>
      <c r="H339" s="27" t="s">
        <v>122</v>
      </c>
      <c r="I339" s="28" t="s">
        <v>24</v>
      </c>
      <c r="J339" s="27" t="s">
        <v>25</v>
      </c>
      <c r="K339" s="27" t="s">
        <v>26</v>
      </c>
      <c r="L339" s="27" t="s">
        <v>27</v>
      </c>
      <c r="M339" s="29" t="s">
        <v>123</v>
      </c>
      <c r="N339" s="30" t="s">
        <v>124</v>
      </c>
    </row>
    <row r="340" spans="1:14" x14ac:dyDescent="0.3">
      <c r="B340" s="2">
        <v>0.703125</v>
      </c>
      <c r="C340" s="2">
        <v>0.703125</v>
      </c>
      <c r="D340" s="15"/>
      <c r="E340" s="39">
        <v>-130</v>
      </c>
      <c r="F340" s="13"/>
      <c r="G340" s="11"/>
      <c r="H340" s="38">
        <v>-20</v>
      </c>
      <c r="I340" s="12">
        <v>89.5</v>
      </c>
      <c r="J340" s="2">
        <v>-89.5</v>
      </c>
      <c r="K340" s="2">
        <v>0</v>
      </c>
      <c r="L340" s="2">
        <v>359</v>
      </c>
      <c r="M340" s="32">
        <f>E342/B340</f>
        <v>327.11111111111109</v>
      </c>
      <c r="N340" s="33">
        <f>$M$5-(I340-H340)/C340</f>
        <v>100.26666666666668</v>
      </c>
    </row>
    <row r="341" spans="1:14" x14ac:dyDescent="0.3">
      <c r="B341" s="4"/>
      <c r="C341" s="4"/>
      <c r="D341" s="15"/>
      <c r="E341" s="13" t="s">
        <v>50</v>
      </c>
      <c r="F341" s="13"/>
      <c r="G341" s="11"/>
      <c r="H341" s="11"/>
      <c r="I341" s="12"/>
      <c r="J341" s="2"/>
      <c r="K341" s="2"/>
      <c r="L341" s="2"/>
      <c r="M341" s="12" t="s">
        <v>88</v>
      </c>
      <c r="N341" s="2" t="s">
        <v>88</v>
      </c>
    </row>
    <row r="342" spans="1:14" x14ac:dyDescent="0.3">
      <c r="D342" s="15"/>
      <c r="E342" s="13">
        <f>(180-ABS(E340))+180</f>
        <v>230</v>
      </c>
      <c r="F342" s="13"/>
      <c r="G342" s="11"/>
      <c r="H342" s="11"/>
      <c r="I342" s="12"/>
      <c r="J342" s="2"/>
      <c r="K342" s="2"/>
      <c r="L342" s="2"/>
      <c r="M342" s="12"/>
      <c r="N342" s="2"/>
    </row>
    <row r="343" spans="1:14" x14ac:dyDescent="0.3">
      <c r="A343" t="s">
        <v>289</v>
      </c>
      <c r="B343" s="2"/>
      <c r="C343" s="2">
        <v>0.703125</v>
      </c>
      <c r="D343" s="15"/>
      <c r="E343" s="39"/>
      <c r="F343" s="13"/>
      <c r="G343" s="11"/>
      <c r="H343" s="38">
        <v>80</v>
      </c>
      <c r="I343" s="12">
        <v>89.5</v>
      </c>
      <c r="J343" s="2">
        <v>-89.5</v>
      </c>
      <c r="K343" s="2"/>
      <c r="L343" s="2"/>
      <c r="N343" s="33">
        <f>$M$5-(I343-H343)/C343</f>
        <v>242.48888888888888</v>
      </c>
    </row>
    <row r="344" spans="1:14" x14ac:dyDescent="0.3">
      <c r="B344" s="2"/>
      <c r="C344" s="2">
        <v>0.703125</v>
      </c>
      <c r="D344" s="15"/>
      <c r="E344" s="39"/>
      <c r="F344" s="13"/>
      <c r="G344" s="11"/>
      <c r="H344" s="38">
        <v>-80</v>
      </c>
      <c r="I344" s="12">
        <v>89.5</v>
      </c>
      <c r="J344" s="2">
        <v>-89.5</v>
      </c>
      <c r="K344" s="2"/>
      <c r="L344" s="2"/>
      <c r="N344" s="33">
        <f>$M$5-(I344-H344)/C344</f>
        <v>14.933333333333337</v>
      </c>
    </row>
    <row r="345" spans="1:14" ht="41.4" x14ac:dyDescent="0.3">
      <c r="A345" s="26" t="s">
        <v>150</v>
      </c>
      <c r="B345" s="27" t="s">
        <v>18</v>
      </c>
      <c r="C345" s="27" t="s">
        <v>19</v>
      </c>
      <c r="D345" s="28"/>
      <c r="E345" s="28" t="s">
        <v>151</v>
      </c>
      <c r="F345" s="27"/>
      <c r="G345" s="27"/>
      <c r="H345" s="27" t="s">
        <v>152</v>
      </c>
      <c r="I345" s="28" t="s">
        <v>24</v>
      </c>
      <c r="J345" s="27" t="s">
        <v>25</v>
      </c>
      <c r="K345" s="27" t="s">
        <v>26</v>
      </c>
      <c r="L345" s="27" t="s">
        <v>27</v>
      </c>
      <c r="M345" s="29" t="s">
        <v>153</v>
      </c>
      <c r="N345" s="30" t="s">
        <v>154</v>
      </c>
    </row>
    <row r="346" spans="1:14" x14ac:dyDescent="0.3">
      <c r="A346" s="31"/>
      <c r="B346" s="2">
        <v>0.703125</v>
      </c>
      <c r="C346" s="2">
        <v>0.703125</v>
      </c>
      <c r="D346" s="12"/>
      <c r="E346" s="13">
        <v>-108.5373861111111</v>
      </c>
      <c r="F346" s="13"/>
      <c r="G346" s="11"/>
      <c r="H346" s="11">
        <v>33.061502777777775</v>
      </c>
      <c r="I346" s="12">
        <v>89.5</v>
      </c>
      <c r="J346" s="2">
        <v>-89.5</v>
      </c>
      <c r="K346" s="2">
        <v>0</v>
      </c>
      <c r="L346" s="2">
        <v>359</v>
      </c>
      <c r="M346" s="32">
        <f>E348/B346</f>
        <v>357.63571753086421</v>
      </c>
      <c r="N346" s="33">
        <f>$M$4-(I346-H346)/C346</f>
        <v>-80.268084938271613</v>
      </c>
    </row>
    <row r="347" spans="1:14" x14ac:dyDescent="0.3">
      <c r="B347" s="2"/>
      <c r="C347" s="2"/>
      <c r="D347" s="12"/>
      <c r="E347" s="13" t="s">
        <v>50</v>
      </c>
      <c r="F347" s="13"/>
      <c r="G347" s="11"/>
      <c r="H347" s="11"/>
      <c r="I347" s="12"/>
      <c r="J347" s="2"/>
      <c r="K347" s="2"/>
      <c r="L347" s="2"/>
      <c r="M347" s="12"/>
      <c r="N347" s="2"/>
    </row>
    <row r="348" spans="1:14" x14ac:dyDescent="0.3">
      <c r="B348" s="2"/>
      <c r="C348" s="2"/>
      <c r="D348" s="12"/>
      <c r="E348" s="13">
        <f>(180-ABS(E346))+180</f>
        <v>251.46261388888888</v>
      </c>
      <c r="F348" s="13">
        <v>1</v>
      </c>
      <c r="G348" s="11">
        <f t="shared" ref="G348:N348" si="4">F348+1</f>
        <v>2</v>
      </c>
      <c r="H348" s="11">
        <f t="shared" si="4"/>
        <v>3</v>
      </c>
      <c r="I348" s="11">
        <f t="shared" si="4"/>
        <v>4</v>
      </c>
      <c r="J348" s="11">
        <f t="shared" si="4"/>
        <v>5</v>
      </c>
      <c r="K348" s="11">
        <f t="shared" si="4"/>
        <v>6</v>
      </c>
      <c r="L348" s="11">
        <f t="shared" si="4"/>
        <v>7</v>
      </c>
      <c r="M348" s="11">
        <f t="shared" si="4"/>
        <v>8</v>
      </c>
      <c r="N348" s="11">
        <f t="shared" si="4"/>
        <v>9</v>
      </c>
    </row>
    <row r="349" spans="1:14" x14ac:dyDescent="0.3">
      <c r="B349" s="2"/>
      <c r="C349" s="2"/>
      <c r="D349" s="35"/>
      <c r="E349" s="53" t="s">
        <v>160</v>
      </c>
      <c r="F349" s="36">
        <v>0</v>
      </c>
      <c r="G349" s="11">
        <f t="shared" ref="G349:N349" si="5">F349+30</f>
        <v>30</v>
      </c>
      <c r="H349" s="11">
        <f t="shared" si="5"/>
        <v>60</v>
      </c>
      <c r="I349" s="11">
        <f t="shared" si="5"/>
        <v>90</v>
      </c>
      <c r="J349" s="11">
        <f t="shared" si="5"/>
        <v>120</v>
      </c>
      <c r="K349" s="11">
        <f t="shared" si="5"/>
        <v>150</v>
      </c>
      <c r="L349" s="11">
        <f t="shared" si="5"/>
        <v>180</v>
      </c>
      <c r="M349" s="11">
        <f t="shared" si="5"/>
        <v>210</v>
      </c>
      <c r="N349" s="11">
        <f t="shared" si="5"/>
        <v>240</v>
      </c>
    </row>
    <row r="350" spans="1:14" x14ac:dyDescent="0.3">
      <c r="B350" s="2"/>
      <c r="C350" s="2"/>
      <c r="D350" s="35"/>
      <c r="E350" s="36" t="s">
        <v>161</v>
      </c>
      <c r="F350" s="36">
        <f t="shared" ref="F350:N350" si="6">F349/$B$346</f>
        <v>0</v>
      </c>
      <c r="G350" s="36">
        <f t="shared" si="6"/>
        <v>42.666666666666664</v>
      </c>
      <c r="H350" s="36">
        <f t="shared" si="6"/>
        <v>85.333333333333329</v>
      </c>
      <c r="I350" s="36">
        <f t="shared" si="6"/>
        <v>128</v>
      </c>
      <c r="J350" s="36">
        <f t="shared" si="6"/>
        <v>170.66666666666666</v>
      </c>
      <c r="K350" s="36">
        <f t="shared" si="6"/>
        <v>213.33333333333334</v>
      </c>
      <c r="L350" s="36">
        <f t="shared" si="6"/>
        <v>256</v>
      </c>
      <c r="M350" s="36">
        <f t="shared" si="6"/>
        <v>298.66666666666669</v>
      </c>
      <c r="N350" s="36">
        <f t="shared" si="6"/>
        <v>341.33333333333331</v>
      </c>
    </row>
    <row r="351" spans="1:14" x14ac:dyDescent="0.3">
      <c r="B351" s="2"/>
      <c r="C351" s="2"/>
      <c r="D351" s="35"/>
      <c r="E351" s="36"/>
      <c r="F351" s="36"/>
      <c r="G351" t="s">
        <v>165</v>
      </c>
      <c r="H351" s="37">
        <f>H350-G350</f>
        <v>42.666666666666664</v>
      </c>
      <c r="I351" s="11"/>
      <c r="J351" s="35"/>
      <c r="K351" s="36"/>
      <c r="L351" s="2"/>
      <c r="M351" s="35"/>
      <c r="N351" s="2"/>
    </row>
    <row r="352" spans="1:14" x14ac:dyDescent="0.3">
      <c r="B352" s="2"/>
      <c r="C352" s="2"/>
      <c r="D352" s="35"/>
      <c r="E352" s="36"/>
      <c r="F352" s="36"/>
      <c r="G352" t="s">
        <v>166</v>
      </c>
      <c r="H352" s="37">
        <f>Q320*H351</f>
        <v>512</v>
      </c>
      <c r="I352" s="11"/>
      <c r="J352" s="35"/>
      <c r="K352" s="36"/>
      <c r="L352" s="2"/>
      <c r="M352" s="35"/>
      <c r="N352" s="2"/>
    </row>
    <row r="353" spans="1:14" x14ac:dyDescent="0.3">
      <c r="B353" s="2"/>
      <c r="C353" s="121" t="s">
        <v>164</v>
      </c>
      <c r="D353" s="55"/>
      <c r="E353" s="56"/>
      <c r="F353" s="56"/>
      <c r="G353" s="57"/>
      <c r="H353" s="54"/>
      <c r="I353" s="54"/>
      <c r="J353" s="55"/>
      <c r="K353" s="36"/>
      <c r="L353" s="2"/>
      <c r="M353" s="35"/>
      <c r="N353" s="2"/>
    </row>
    <row r="354" spans="1:14" ht="41.4" x14ac:dyDescent="0.3">
      <c r="A354" s="26" t="s">
        <v>155</v>
      </c>
      <c r="B354" s="27" t="s">
        <v>18</v>
      </c>
      <c r="C354" s="27" t="s">
        <v>19</v>
      </c>
      <c r="D354" s="28"/>
      <c r="E354" s="28" t="s">
        <v>156</v>
      </c>
      <c r="F354" s="27"/>
      <c r="G354" s="27"/>
      <c r="H354" s="27" t="s">
        <v>157</v>
      </c>
      <c r="I354" s="28" t="s">
        <v>24</v>
      </c>
      <c r="J354" s="27" t="s">
        <v>25</v>
      </c>
      <c r="K354" s="27" t="s">
        <v>26</v>
      </c>
      <c r="L354" s="27" t="s">
        <v>27</v>
      </c>
      <c r="M354" s="29" t="s">
        <v>158</v>
      </c>
      <c r="N354" s="30" t="s">
        <v>159</v>
      </c>
    </row>
    <row r="355" spans="1:14" x14ac:dyDescent="0.3">
      <c r="A355" s="31"/>
      <c r="B355" s="2">
        <v>0.703125</v>
      </c>
      <c r="C355" s="2">
        <v>0.703125</v>
      </c>
      <c r="D355" s="12"/>
      <c r="E355" s="13">
        <v>-108.5373861111111</v>
      </c>
      <c r="F355" s="13"/>
      <c r="G355" s="11"/>
      <c r="H355" s="11">
        <v>33.061502777777775</v>
      </c>
      <c r="I355" s="12">
        <v>89.5</v>
      </c>
      <c r="J355" s="2">
        <v>-89.5</v>
      </c>
      <c r="K355" s="2">
        <v>0</v>
      </c>
      <c r="L355" s="2">
        <v>359</v>
      </c>
      <c r="M355" s="32">
        <f>E357/B355</f>
        <v>357.63571753086421</v>
      </c>
      <c r="N355" s="33">
        <f>$M$4-(I355-H355)/C355</f>
        <v>-80.268084938271613</v>
      </c>
    </row>
    <row r="356" spans="1:14" x14ac:dyDescent="0.3">
      <c r="B356" s="2"/>
      <c r="C356" s="2"/>
      <c r="D356" s="12"/>
      <c r="E356" s="13" t="s">
        <v>50</v>
      </c>
      <c r="F356" s="13"/>
      <c r="G356" s="11"/>
      <c r="H356" s="11"/>
      <c r="I356" s="12"/>
      <c r="J356" s="2"/>
      <c r="K356" s="2"/>
      <c r="L356" s="2"/>
      <c r="M356" s="12"/>
      <c r="N356" s="2"/>
    </row>
    <row r="357" spans="1:14" x14ac:dyDescent="0.3">
      <c r="B357" s="2"/>
      <c r="C357" s="2"/>
      <c r="D357" s="12"/>
      <c r="E357" s="13">
        <f>(180-ABS(E355))+180</f>
        <v>251.46261388888888</v>
      </c>
      <c r="F357" s="13">
        <v>1</v>
      </c>
      <c r="G357" s="11">
        <f t="shared" ref="G357:N357" si="7">F357+1</f>
        <v>2</v>
      </c>
      <c r="H357" s="11">
        <f t="shared" si="7"/>
        <v>3</v>
      </c>
      <c r="I357" s="11">
        <f t="shared" si="7"/>
        <v>4</v>
      </c>
      <c r="J357" s="11">
        <f t="shared" si="7"/>
        <v>5</v>
      </c>
      <c r="K357" s="11">
        <f t="shared" si="7"/>
        <v>6</v>
      </c>
      <c r="L357" s="11">
        <f t="shared" si="7"/>
        <v>7</v>
      </c>
      <c r="M357" s="11">
        <f t="shared" si="7"/>
        <v>8</v>
      </c>
      <c r="N357" s="11">
        <f t="shared" si="7"/>
        <v>9</v>
      </c>
    </row>
    <row r="358" spans="1:14" x14ac:dyDescent="0.3">
      <c r="B358" s="2"/>
      <c r="C358" s="2"/>
      <c r="D358" s="35"/>
      <c r="E358" s="53" t="s">
        <v>162</v>
      </c>
      <c r="F358" s="36">
        <v>0</v>
      </c>
      <c r="G358" s="11">
        <f t="shared" ref="G358:N358" si="8">F358+15</f>
        <v>15</v>
      </c>
      <c r="H358" s="11">
        <f t="shared" si="8"/>
        <v>30</v>
      </c>
      <c r="I358" s="11">
        <f t="shared" si="8"/>
        <v>45</v>
      </c>
      <c r="J358" s="11">
        <f t="shared" si="8"/>
        <v>60</v>
      </c>
      <c r="K358" s="11">
        <f t="shared" si="8"/>
        <v>75</v>
      </c>
      <c r="L358" s="11">
        <f t="shared" si="8"/>
        <v>90</v>
      </c>
      <c r="M358" s="11">
        <f t="shared" si="8"/>
        <v>105</v>
      </c>
      <c r="N358" s="11">
        <f t="shared" si="8"/>
        <v>120</v>
      </c>
    </row>
    <row r="359" spans="1:14" x14ac:dyDescent="0.3">
      <c r="B359" s="2"/>
      <c r="C359" s="2"/>
      <c r="D359" s="35"/>
      <c r="E359" s="36" t="s">
        <v>163</v>
      </c>
      <c r="F359" s="36">
        <f t="shared" ref="F359:N359" si="9">F358/$B$355</f>
        <v>0</v>
      </c>
      <c r="G359" s="36">
        <f t="shared" si="9"/>
        <v>21.333333333333332</v>
      </c>
      <c r="H359" s="36">
        <f t="shared" si="9"/>
        <v>42.666666666666664</v>
      </c>
      <c r="I359" s="36">
        <f t="shared" si="9"/>
        <v>64</v>
      </c>
      <c r="J359" s="36">
        <f t="shared" si="9"/>
        <v>85.333333333333329</v>
      </c>
      <c r="K359" s="36">
        <f t="shared" si="9"/>
        <v>106.66666666666667</v>
      </c>
      <c r="L359" s="36">
        <f t="shared" si="9"/>
        <v>128</v>
      </c>
      <c r="M359" s="36">
        <f t="shared" si="9"/>
        <v>149.33333333333334</v>
      </c>
      <c r="N359" s="36">
        <f t="shared" si="9"/>
        <v>170.66666666666666</v>
      </c>
    </row>
    <row r="360" spans="1:14" x14ac:dyDescent="0.3">
      <c r="B360" s="2"/>
      <c r="C360" s="2"/>
      <c r="D360" s="35"/>
      <c r="E360" s="36"/>
      <c r="F360" s="36"/>
      <c r="G360" t="s">
        <v>165</v>
      </c>
      <c r="H360" s="37">
        <f>H359-G359</f>
        <v>21.333333333333332</v>
      </c>
      <c r="I360" s="11"/>
      <c r="J360" s="35"/>
      <c r="K360" s="36"/>
      <c r="L360" s="2"/>
      <c r="M360" s="35"/>
      <c r="N360" s="2"/>
    </row>
    <row r="361" spans="1:14" x14ac:dyDescent="0.3">
      <c r="B361" s="2"/>
      <c r="C361" s="2"/>
      <c r="D361" s="35"/>
      <c r="E361" s="36"/>
      <c r="F361" s="36"/>
      <c r="G361" t="s">
        <v>166</v>
      </c>
      <c r="H361" s="37">
        <f>Q329*H360</f>
        <v>256</v>
      </c>
      <c r="I361" s="35"/>
      <c r="J361" s="2"/>
      <c r="K361" s="2"/>
      <c r="L361" s="2"/>
      <c r="M361" s="35"/>
      <c r="N361" s="2"/>
    </row>
    <row r="362" spans="1:14" x14ac:dyDescent="0.3">
      <c r="B362" s="2"/>
      <c r="C362" s="2"/>
      <c r="D362" s="35"/>
      <c r="E362" s="36" t="s">
        <v>50</v>
      </c>
      <c r="F362" s="36">
        <f>90-F358</f>
        <v>90</v>
      </c>
      <c r="G362" s="36">
        <f t="shared" ref="G362:L362" si="10">90-G358</f>
        <v>75</v>
      </c>
      <c r="H362" s="36">
        <f t="shared" si="10"/>
        <v>60</v>
      </c>
      <c r="I362" s="36">
        <f t="shared" si="10"/>
        <v>45</v>
      </c>
      <c r="J362" s="36">
        <f t="shared" si="10"/>
        <v>30</v>
      </c>
      <c r="K362" s="36">
        <f t="shared" si="10"/>
        <v>15</v>
      </c>
      <c r="L362" s="36">
        <f t="shared" si="10"/>
        <v>0</v>
      </c>
      <c r="M362" s="35">
        <f>M358-90</f>
        <v>15</v>
      </c>
      <c r="N362" s="35">
        <f>N358-90</f>
        <v>30</v>
      </c>
    </row>
    <row r="368" spans="1:14" ht="55.2" x14ac:dyDescent="0.3">
      <c r="A368" s="26" t="s">
        <v>183</v>
      </c>
      <c r="B368" s="27" t="s">
        <v>18</v>
      </c>
      <c r="C368" s="27" t="s">
        <v>19</v>
      </c>
      <c r="D368" s="28"/>
      <c r="E368" s="28" t="s">
        <v>179</v>
      </c>
      <c r="F368" s="27"/>
      <c r="G368" s="27"/>
      <c r="H368" s="27" t="s">
        <v>180</v>
      </c>
      <c r="I368" s="28" t="s">
        <v>24</v>
      </c>
      <c r="J368" s="27" t="s">
        <v>25</v>
      </c>
      <c r="K368" s="27" t="s">
        <v>26</v>
      </c>
      <c r="L368" s="27" t="s">
        <v>27</v>
      </c>
      <c r="M368" s="29" t="s">
        <v>181</v>
      </c>
      <c r="N368" s="30" t="s">
        <v>182</v>
      </c>
    </row>
    <row r="369" spans="1:14" x14ac:dyDescent="0.3">
      <c r="A369" s="31"/>
      <c r="B369" s="2">
        <v>0.703125</v>
      </c>
      <c r="C369" s="2">
        <v>0.703125</v>
      </c>
      <c r="D369" s="12"/>
      <c r="E369" s="39">
        <v>-112.21299999999999</v>
      </c>
      <c r="F369" s="13"/>
      <c r="G369" s="11"/>
      <c r="H369" s="38">
        <v>40.731389999999998</v>
      </c>
      <c r="I369" s="12">
        <v>89.5</v>
      </c>
      <c r="J369" s="2">
        <v>-89.5</v>
      </c>
      <c r="K369" s="2">
        <v>0</v>
      </c>
      <c r="L369" s="2">
        <v>359</v>
      </c>
      <c r="M369" s="32">
        <f>E371/B369</f>
        <v>352.40817777777778</v>
      </c>
      <c r="N369" s="33">
        <f>$M$5-(I369-H369)/C369</f>
        <v>186.64019911111109</v>
      </c>
    </row>
    <row r="370" spans="1:14" x14ac:dyDescent="0.3">
      <c r="B370" s="2"/>
      <c r="C370" s="2"/>
      <c r="D370" s="12"/>
      <c r="E370" s="13" t="s">
        <v>50</v>
      </c>
      <c r="F370" s="13"/>
      <c r="G370" s="11"/>
      <c r="H370" s="11"/>
      <c r="I370" s="12"/>
      <c r="J370" s="2"/>
      <c r="K370" s="2"/>
      <c r="L370" s="2"/>
      <c r="M370" s="12"/>
      <c r="N370" s="2"/>
    </row>
    <row r="371" spans="1:14" x14ac:dyDescent="0.3">
      <c r="B371" s="2"/>
      <c r="C371" s="2"/>
      <c r="D371" s="12"/>
      <c r="E371" s="13">
        <f>(180-ABS(E369))+180</f>
        <v>247.78700000000001</v>
      </c>
      <c r="F371" s="13"/>
      <c r="G371" s="11"/>
      <c r="H371" s="11"/>
      <c r="I371" s="12"/>
      <c r="J371" s="2"/>
      <c r="K371" s="2"/>
      <c r="L371" s="2"/>
      <c r="M371" s="12"/>
      <c r="N371" s="2"/>
    </row>
    <row r="376" spans="1:14" x14ac:dyDescent="0.3">
      <c r="A376" t="s">
        <v>167</v>
      </c>
      <c r="B376" s="120" t="s">
        <v>18</v>
      </c>
      <c r="C376" s="120" t="s">
        <v>19</v>
      </c>
      <c r="E376" t="s">
        <v>168</v>
      </c>
      <c r="H376" t="s">
        <v>169</v>
      </c>
      <c r="I376" t="s">
        <v>24</v>
      </c>
      <c r="J376" t="s">
        <v>25</v>
      </c>
      <c r="K376" t="s">
        <v>26</v>
      </c>
      <c r="L376" t="s">
        <v>27</v>
      </c>
      <c r="M376" t="s">
        <v>170</v>
      </c>
      <c r="N376" t="s">
        <v>171</v>
      </c>
    </row>
    <row r="377" spans="1:14" x14ac:dyDescent="0.3">
      <c r="B377" s="120">
        <v>2.8125</v>
      </c>
      <c r="C377" s="120">
        <v>2.8125</v>
      </c>
      <c r="E377">
        <v>-72.5</v>
      </c>
      <c r="H377">
        <v>-36.830500000000001</v>
      </c>
      <c r="I377">
        <v>89.5</v>
      </c>
      <c r="J377">
        <v>-89.5</v>
      </c>
      <c r="K377">
        <v>0</v>
      </c>
      <c r="L377">
        <v>359</v>
      </c>
      <c r="M377">
        <v>102.22222222222223</v>
      </c>
      <c r="N377">
        <v>19.082488888888889</v>
      </c>
    </row>
    <row r="378" spans="1:14" x14ac:dyDescent="0.3">
      <c r="E378" t="s">
        <v>50</v>
      </c>
    </row>
    <row r="379" spans="1:14" x14ac:dyDescent="0.3">
      <c r="E379">
        <v>287.5</v>
      </c>
    </row>
    <row r="381" spans="1:14" ht="69" x14ac:dyDescent="0.3">
      <c r="A381" s="26" t="s">
        <v>183</v>
      </c>
      <c r="B381" s="27" t="s">
        <v>18</v>
      </c>
      <c r="C381" s="27" t="s">
        <v>19</v>
      </c>
      <c r="D381" s="28"/>
      <c r="E381" s="28" t="s">
        <v>184</v>
      </c>
      <c r="F381" s="27"/>
      <c r="G381" s="27"/>
      <c r="H381" s="27" t="s">
        <v>185</v>
      </c>
      <c r="I381" s="28" t="s">
        <v>24</v>
      </c>
      <c r="J381" s="27" t="s">
        <v>25</v>
      </c>
      <c r="K381" s="27" t="s">
        <v>26</v>
      </c>
      <c r="L381" s="27" t="s">
        <v>27</v>
      </c>
      <c r="M381" s="29" t="s">
        <v>186</v>
      </c>
      <c r="N381" s="30" t="s">
        <v>187</v>
      </c>
    </row>
    <row r="382" spans="1:14" x14ac:dyDescent="0.3">
      <c r="A382" s="31"/>
      <c r="B382" s="2">
        <v>0.703125</v>
      </c>
      <c r="C382" s="2">
        <v>0.703125</v>
      </c>
      <c r="D382" s="12"/>
      <c r="E382" s="39">
        <v>-72.5</v>
      </c>
      <c r="F382" s="13"/>
      <c r="G382" s="11"/>
      <c r="H382" s="38">
        <v>-36.830500000000001</v>
      </c>
      <c r="I382" s="12">
        <v>89.5</v>
      </c>
      <c r="J382" s="2">
        <v>-89.5</v>
      </c>
      <c r="K382" s="2">
        <v>0</v>
      </c>
      <c r="L382" s="2">
        <v>359</v>
      </c>
      <c r="M382" s="32">
        <f>E384/B382</f>
        <v>408.88888888888891</v>
      </c>
      <c r="N382" s="33">
        <f>$M$5-(I382-H382)/C382</f>
        <v>76.329955555555557</v>
      </c>
    </row>
    <row r="383" spans="1:14" x14ac:dyDescent="0.3">
      <c r="B383" s="2"/>
      <c r="C383" s="2"/>
      <c r="D383" s="12"/>
      <c r="E383" s="13" t="s">
        <v>50</v>
      </c>
      <c r="F383" s="13"/>
      <c r="G383" s="11"/>
      <c r="H383" s="11"/>
      <c r="I383" s="12"/>
      <c r="J383" s="2"/>
      <c r="K383" s="2"/>
      <c r="L383" s="2"/>
      <c r="M383" s="12"/>
      <c r="N383" s="2"/>
    </row>
    <row r="384" spans="1:14" x14ac:dyDescent="0.3">
      <c r="B384" s="2"/>
      <c r="C384" s="2"/>
      <c r="D384" s="12"/>
      <c r="E384" s="13">
        <f>(180-ABS(E382))+180</f>
        <v>287.5</v>
      </c>
      <c r="F384" s="13"/>
      <c r="G384" s="11"/>
      <c r="H384" s="11"/>
      <c r="I384" s="12"/>
      <c r="J384" s="2"/>
      <c r="K384" s="2"/>
      <c r="L384" s="2"/>
      <c r="M384" s="12"/>
      <c r="N384" s="2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A1D2A-A1F2-4033-9963-F5836C137488}">
  <dimension ref="A1:AA497"/>
  <sheetViews>
    <sheetView tabSelected="1" zoomScale="80" zoomScaleNormal="80" workbookViewId="0">
      <selection activeCell="B3" sqref="B3"/>
    </sheetView>
  </sheetViews>
  <sheetFormatPr defaultRowHeight="21" x14ac:dyDescent="0.4"/>
  <cols>
    <col min="5" max="5" width="13.44140625" customWidth="1"/>
    <col min="6" max="6" width="24.5546875" customWidth="1"/>
    <col min="11" max="11" width="13.21875" bestFit="1" customWidth="1"/>
    <col min="15" max="15" width="8.88671875" style="84"/>
    <col min="16" max="16" width="13.21875" customWidth="1"/>
  </cols>
  <sheetData>
    <row r="1" spans="1:21" x14ac:dyDescent="0.4">
      <c r="B1" t="s">
        <v>346</v>
      </c>
    </row>
    <row r="2" spans="1:21" x14ac:dyDescent="0.4">
      <c r="B2" t="s">
        <v>347</v>
      </c>
    </row>
    <row r="5" spans="1:21" ht="24" x14ac:dyDescent="0.4">
      <c r="A5">
        <f>1/12</f>
        <v>8.3333333333333329E-2</v>
      </c>
      <c r="F5" t="s">
        <v>89</v>
      </c>
      <c r="M5" s="3" t="s">
        <v>337</v>
      </c>
      <c r="P5" s="118" t="s">
        <v>336</v>
      </c>
      <c r="Q5" s="118" t="s">
        <v>331</v>
      </c>
      <c r="R5" s="118" t="s">
        <v>332</v>
      </c>
      <c r="S5" s="118" t="s">
        <v>333</v>
      </c>
      <c r="T5" s="118" t="s">
        <v>334</v>
      </c>
      <c r="U5" s="118" t="s">
        <v>335</v>
      </c>
    </row>
    <row r="6" spans="1:21" x14ac:dyDescent="0.4">
      <c r="B6">
        <v>1</v>
      </c>
      <c r="C6">
        <v>1979</v>
      </c>
      <c r="D6" t="s">
        <v>306</v>
      </c>
      <c r="F6">
        <f>1979+A5</f>
        <v>1979.0833333333333</v>
      </c>
      <c r="G6">
        <v>1</v>
      </c>
      <c r="H6">
        <v>1979</v>
      </c>
      <c r="I6" t="s">
        <v>306</v>
      </c>
      <c r="M6">
        <v>1</v>
      </c>
      <c r="P6" s="119">
        <f>Q6*R6*S6</f>
        <v>115680</v>
      </c>
      <c r="Q6">
        <v>241</v>
      </c>
      <c r="R6">
        <v>12</v>
      </c>
      <c r="S6">
        <v>40</v>
      </c>
      <c r="T6">
        <v>2018</v>
      </c>
      <c r="U6">
        <v>1979</v>
      </c>
    </row>
    <row r="7" spans="1:21" x14ac:dyDescent="0.4">
      <c r="B7">
        <f>B6+1</f>
        <v>2</v>
      </c>
      <c r="C7">
        <v>1979</v>
      </c>
      <c r="D7" t="s">
        <v>307</v>
      </c>
      <c r="F7">
        <f>F6+1/12</f>
        <v>1979.1666666666665</v>
      </c>
      <c r="G7">
        <f>G6+1</f>
        <v>2</v>
      </c>
      <c r="H7">
        <v>1979</v>
      </c>
      <c r="I7" t="s">
        <v>307</v>
      </c>
      <c r="M7">
        <f>M6+241</f>
        <v>242</v>
      </c>
    </row>
    <row r="8" spans="1:21" x14ac:dyDescent="0.4">
      <c r="B8">
        <f t="shared" ref="B8:B71" si="0">B7+1</f>
        <v>3</v>
      </c>
      <c r="C8">
        <v>1979</v>
      </c>
      <c r="D8" t="s">
        <v>308</v>
      </c>
      <c r="F8">
        <f t="shared" ref="F8:F71" si="1">F7+1/12</f>
        <v>1979.2499999999998</v>
      </c>
      <c r="G8">
        <f t="shared" ref="G8:G71" si="2">G7+1</f>
        <v>3</v>
      </c>
      <c r="H8">
        <v>1979</v>
      </c>
      <c r="I8" t="s">
        <v>308</v>
      </c>
      <c r="M8">
        <f t="shared" ref="M8:M71" si="3">M7+241</f>
        <v>483</v>
      </c>
    </row>
    <row r="9" spans="1:21" x14ac:dyDescent="0.4">
      <c r="B9">
        <f t="shared" si="0"/>
        <v>4</v>
      </c>
      <c r="C9">
        <v>1979</v>
      </c>
      <c r="D9" t="s">
        <v>309</v>
      </c>
      <c r="F9">
        <f t="shared" si="1"/>
        <v>1979.333333333333</v>
      </c>
      <c r="G9">
        <f t="shared" si="2"/>
        <v>4</v>
      </c>
      <c r="H9">
        <v>1979</v>
      </c>
      <c r="I9" t="s">
        <v>309</v>
      </c>
      <c r="M9">
        <f t="shared" si="3"/>
        <v>724</v>
      </c>
    </row>
    <row r="10" spans="1:21" x14ac:dyDescent="0.4">
      <c r="B10">
        <f t="shared" si="0"/>
        <v>5</v>
      </c>
      <c r="C10">
        <v>1979</v>
      </c>
      <c r="D10" t="s">
        <v>310</v>
      </c>
      <c r="F10">
        <f t="shared" si="1"/>
        <v>1979.4166666666663</v>
      </c>
      <c r="G10">
        <f t="shared" si="2"/>
        <v>5</v>
      </c>
      <c r="H10">
        <v>1979</v>
      </c>
      <c r="I10" t="s">
        <v>310</v>
      </c>
      <c r="M10">
        <f t="shared" si="3"/>
        <v>965</v>
      </c>
    </row>
    <row r="11" spans="1:21" x14ac:dyDescent="0.4">
      <c r="B11">
        <f t="shared" si="0"/>
        <v>6</v>
      </c>
      <c r="C11">
        <v>1979</v>
      </c>
      <c r="D11" t="s">
        <v>311</v>
      </c>
      <c r="F11">
        <f t="shared" si="1"/>
        <v>1979.4999999999995</v>
      </c>
      <c r="G11">
        <f t="shared" si="2"/>
        <v>6</v>
      </c>
      <c r="H11">
        <v>1979</v>
      </c>
      <c r="I11" t="s">
        <v>311</v>
      </c>
      <c r="M11">
        <f t="shared" si="3"/>
        <v>1206</v>
      </c>
    </row>
    <row r="12" spans="1:21" x14ac:dyDescent="0.4">
      <c r="B12">
        <f t="shared" si="0"/>
        <v>7</v>
      </c>
      <c r="C12">
        <v>1979</v>
      </c>
      <c r="D12" t="s">
        <v>312</v>
      </c>
      <c r="F12">
        <f t="shared" si="1"/>
        <v>1979.5833333333328</v>
      </c>
      <c r="G12">
        <f t="shared" si="2"/>
        <v>7</v>
      </c>
      <c r="H12">
        <v>1979</v>
      </c>
      <c r="I12" t="s">
        <v>312</v>
      </c>
      <c r="M12">
        <f t="shared" si="3"/>
        <v>1447</v>
      </c>
    </row>
    <row r="13" spans="1:21" x14ac:dyDescent="0.4">
      <c r="B13">
        <f t="shared" si="0"/>
        <v>8</v>
      </c>
      <c r="C13">
        <v>1979</v>
      </c>
      <c r="D13" t="s">
        <v>313</v>
      </c>
      <c r="F13">
        <f t="shared" si="1"/>
        <v>1979.6666666666661</v>
      </c>
      <c r="G13">
        <f t="shared" si="2"/>
        <v>8</v>
      </c>
      <c r="H13">
        <v>1979</v>
      </c>
      <c r="I13" t="s">
        <v>313</v>
      </c>
      <c r="M13">
        <f t="shared" si="3"/>
        <v>1688</v>
      </c>
    </row>
    <row r="14" spans="1:21" x14ac:dyDescent="0.4">
      <c r="B14">
        <f t="shared" si="0"/>
        <v>9</v>
      </c>
      <c r="C14">
        <v>1979</v>
      </c>
      <c r="D14" t="s">
        <v>314</v>
      </c>
      <c r="F14">
        <f t="shared" si="1"/>
        <v>1979.7499999999993</v>
      </c>
      <c r="G14">
        <f t="shared" si="2"/>
        <v>9</v>
      </c>
      <c r="H14">
        <v>1979</v>
      </c>
      <c r="I14" t="s">
        <v>314</v>
      </c>
      <c r="K14" t="s">
        <v>315</v>
      </c>
      <c r="L14">
        <v>9</v>
      </c>
      <c r="M14">
        <f t="shared" si="3"/>
        <v>1929</v>
      </c>
    </row>
    <row r="15" spans="1:21" x14ac:dyDescent="0.4">
      <c r="B15">
        <f t="shared" si="0"/>
        <v>10</v>
      </c>
      <c r="C15">
        <v>1979</v>
      </c>
      <c r="D15" t="s">
        <v>316</v>
      </c>
      <c r="F15">
        <f t="shared" si="1"/>
        <v>1979.8333333333326</v>
      </c>
      <c r="G15">
        <f t="shared" si="2"/>
        <v>10</v>
      </c>
      <c r="H15">
        <v>1979</v>
      </c>
      <c r="I15" t="s">
        <v>316</v>
      </c>
      <c r="M15">
        <f t="shared" si="3"/>
        <v>2170</v>
      </c>
    </row>
    <row r="16" spans="1:21" x14ac:dyDescent="0.4">
      <c r="B16">
        <f t="shared" si="0"/>
        <v>11</v>
      </c>
      <c r="C16">
        <v>1979</v>
      </c>
      <c r="D16" t="s">
        <v>317</v>
      </c>
      <c r="F16">
        <f t="shared" si="1"/>
        <v>1979.9166666666658</v>
      </c>
      <c r="G16">
        <f t="shared" si="2"/>
        <v>11</v>
      </c>
      <c r="H16">
        <v>1979</v>
      </c>
      <c r="I16" t="s">
        <v>317</v>
      </c>
      <c r="M16">
        <f t="shared" si="3"/>
        <v>2411</v>
      </c>
      <c r="P16" t="s">
        <v>318</v>
      </c>
    </row>
    <row r="17" spans="1:16" x14ac:dyDescent="0.4">
      <c r="B17">
        <f t="shared" si="0"/>
        <v>12</v>
      </c>
      <c r="C17">
        <v>1979</v>
      </c>
      <c r="D17" t="s">
        <v>319</v>
      </c>
      <c r="F17">
        <f t="shared" si="1"/>
        <v>1979.9999999999991</v>
      </c>
      <c r="G17" s="42">
        <f t="shared" si="2"/>
        <v>12</v>
      </c>
      <c r="H17" s="42">
        <v>1979</v>
      </c>
      <c r="I17" s="42" t="s">
        <v>319</v>
      </c>
      <c r="L17" s="42"/>
      <c r="M17">
        <f t="shared" si="3"/>
        <v>2652</v>
      </c>
      <c r="P17">
        <v>1</v>
      </c>
    </row>
    <row r="18" spans="1:16" x14ac:dyDescent="0.4">
      <c r="B18">
        <f t="shared" si="0"/>
        <v>13</v>
      </c>
      <c r="C18">
        <f>C6+1</f>
        <v>1980</v>
      </c>
      <c r="D18" t="s">
        <v>306</v>
      </c>
      <c r="F18">
        <f t="shared" si="1"/>
        <v>1980.0833333333323</v>
      </c>
      <c r="G18">
        <f t="shared" si="2"/>
        <v>13</v>
      </c>
      <c r="H18">
        <f>H6+1</f>
        <v>1980</v>
      </c>
      <c r="I18" t="s">
        <v>306</v>
      </c>
      <c r="L18">
        <v>1</v>
      </c>
      <c r="M18">
        <f t="shared" si="3"/>
        <v>2893</v>
      </c>
    </row>
    <row r="19" spans="1:16" x14ac:dyDescent="0.4">
      <c r="B19">
        <f t="shared" si="0"/>
        <v>14</v>
      </c>
      <c r="C19">
        <f t="shared" ref="C19:C82" si="4">C7+1</f>
        <v>1980</v>
      </c>
      <c r="D19" t="s">
        <v>307</v>
      </c>
      <c r="F19">
        <f t="shared" si="1"/>
        <v>1980.1666666666656</v>
      </c>
      <c r="G19">
        <f t="shared" si="2"/>
        <v>14</v>
      </c>
      <c r="H19">
        <f t="shared" ref="H19:H82" si="5">H7+1</f>
        <v>1980</v>
      </c>
      <c r="I19" t="s">
        <v>307</v>
      </c>
      <c r="L19">
        <f>L18+1</f>
        <v>2</v>
      </c>
      <c r="M19">
        <f t="shared" si="3"/>
        <v>3134</v>
      </c>
    </row>
    <row r="20" spans="1:16" x14ac:dyDescent="0.4">
      <c r="B20">
        <f t="shared" si="0"/>
        <v>15</v>
      </c>
      <c r="C20">
        <f t="shared" si="4"/>
        <v>1980</v>
      </c>
      <c r="D20" t="s">
        <v>308</v>
      </c>
      <c r="F20">
        <f t="shared" si="1"/>
        <v>1980.2499999999989</v>
      </c>
      <c r="G20">
        <f t="shared" si="2"/>
        <v>15</v>
      </c>
      <c r="H20">
        <f t="shared" si="5"/>
        <v>1980</v>
      </c>
      <c r="I20" t="s">
        <v>308</v>
      </c>
      <c r="L20">
        <f t="shared" ref="L20:L77" si="6">L19+1</f>
        <v>3</v>
      </c>
      <c r="M20">
        <f t="shared" si="3"/>
        <v>3375</v>
      </c>
    </row>
    <row r="21" spans="1:16" x14ac:dyDescent="0.4">
      <c r="B21">
        <f t="shared" si="0"/>
        <v>16</v>
      </c>
      <c r="C21">
        <f t="shared" si="4"/>
        <v>1980</v>
      </c>
      <c r="D21" t="s">
        <v>309</v>
      </c>
      <c r="F21">
        <f t="shared" si="1"/>
        <v>1980.3333333333321</v>
      </c>
      <c r="G21">
        <f t="shared" si="2"/>
        <v>16</v>
      </c>
      <c r="H21">
        <f t="shared" si="5"/>
        <v>1980</v>
      </c>
      <c r="I21" t="s">
        <v>309</v>
      </c>
      <c r="L21">
        <f t="shared" si="6"/>
        <v>4</v>
      </c>
      <c r="M21">
        <f t="shared" si="3"/>
        <v>3616</v>
      </c>
    </row>
    <row r="22" spans="1:16" x14ac:dyDescent="0.4">
      <c r="B22" s="6">
        <f t="shared" si="0"/>
        <v>17</v>
      </c>
      <c r="C22" s="6">
        <f t="shared" si="4"/>
        <v>1980</v>
      </c>
      <c r="D22" s="6" t="s">
        <v>310</v>
      </c>
      <c r="E22" s="6" t="s">
        <v>320</v>
      </c>
      <c r="F22">
        <f t="shared" si="1"/>
        <v>1980.4166666666654</v>
      </c>
      <c r="G22" s="6">
        <f t="shared" si="2"/>
        <v>17</v>
      </c>
      <c r="H22" s="6">
        <f t="shared" si="5"/>
        <v>1980</v>
      </c>
      <c r="I22" s="6" t="s">
        <v>310</v>
      </c>
      <c r="L22">
        <f t="shared" si="6"/>
        <v>5</v>
      </c>
      <c r="M22">
        <f t="shared" si="3"/>
        <v>3857</v>
      </c>
    </row>
    <row r="23" spans="1:16" x14ac:dyDescent="0.4">
      <c r="B23">
        <f t="shared" si="0"/>
        <v>18</v>
      </c>
      <c r="C23">
        <f t="shared" si="4"/>
        <v>1980</v>
      </c>
      <c r="D23" t="s">
        <v>311</v>
      </c>
      <c r="F23">
        <f t="shared" si="1"/>
        <v>1980.4999999999986</v>
      </c>
      <c r="G23">
        <f t="shared" si="2"/>
        <v>18</v>
      </c>
      <c r="H23">
        <f t="shared" si="5"/>
        <v>1980</v>
      </c>
      <c r="I23" t="s">
        <v>311</v>
      </c>
      <c r="L23">
        <f t="shared" si="6"/>
        <v>6</v>
      </c>
      <c r="M23">
        <f t="shared" si="3"/>
        <v>4098</v>
      </c>
    </row>
    <row r="24" spans="1:16" x14ac:dyDescent="0.4">
      <c r="B24">
        <f t="shared" si="0"/>
        <v>19</v>
      </c>
      <c r="C24">
        <f t="shared" si="4"/>
        <v>1980</v>
      </c>
      <c r="D24" t="s">
        <v>312</v>
      </c>
      <c r="F24">
        <f t="shared" si="1"/>
        <v>1980.5833333333319</v>
      </c>
      <c r="G24">
        <f t="shared" si="2"/>
        <v>19</v>
      </c>
      <c r="H24">
        <f t="shared" si="5"/>
        <v>1980</v>
      </c>
      <c r="I24" t="s">
        <v>312</v>
      </c>
      <c r="L24">
        <f t="shared" si="6"/>
        <v>7</v>
      </c>
      <c r="M24">
        <f t="shared" si="3"/>
        <v>4339</v>
      </c>
      <c r="O24" s="87">
        <f>G24</f>
        <v>19</v>
      </c>
    </row>
    <row r="25" spans="1:16" x14ac:dyDescent="0.4">
      <c r="B25">
        <f t="shared" si="0"/>
        <v>20</v>
      </c>
      <c r="C25">
        <f t="shared" si="4"/>
        <v>1980</v>
      </c>
      <c r="D25" t="s">
        <v>313</v>
      </c>
      <c r="F25">
        <f t="shared" si="1"/>
        <v>1980.6666666666652</v>
      </c>
      <c r="G25">
        <f t="shared" si="2"/>
        <v>20</v>
      </c>
      <c r="H25">
        <f t="shared" si="5"/>
        <v>1980</v>
      </c>
      <c r="I25" t="s">
        <v>313</v>
      </c>
      <c r="L25">
        <f t="shared" si="6"/>
        <v>8</v>
      </c>
      <c r="M25">
        <f t="shared" si="3"/>
        <v>4580</v>
      </c>
    </row>
    <row r="26" spans="1:16" x14ac:dyDescent="0.4">
      <c r="B26">
        <f t="shared" si="0"/>
        <v>21</v>
      </c>
      <c r="C26">
        <f t="shared" si="4"/>
        <v>1980</v>
      </c>
      <c r="D26" t="s">
        <v>314</v>
      </c>
      <c r="F26">
        <f t="shared" si="1"/>
        <v>1980.7499999999984</v>
      </c>
      <c r="G26">
        <f t="shared" si="2"/>
        <v>21</v>
      </c>
      <c r="H26">
        <f t="shared" si="5"/>
        <v>1980</v>
      </c>
      <c r="I26" t="s">
        <v>314</v>
      </c>
      <c r="L26">
        <f t="shared" si="6"/>
        <v>9</v>
      </c>
      <c r="M26">
        <f t="shared" si="3"/>
        <v>4821</v>
      </c>
    </row>
    <row r="27" spans="1:16" x14ac:dyDescent="0.4">
      <c r="B27">
        <f t="shared" si="0"/>
        <v>22</v>
      </c>
      <c r="C27">
        <f t="shared" si="4"/>
        <v>1980</v>
      </c>
      <c r="D27" t="s">
        <v>316</v>
      </c>
      <c r="F27">
        <f t="shared" si="1"/>
        <v>1980.8333333333317</v>
      </c>
      <c r="G27">
        <f t="shared" si="2"/>
        <v>22</v>
      </c>
      <c r="H27">
        <f t="shared" si="5"/>
        <v>1980</v>
      </c>
      <c r="I27" t="s">
        <v>316</v>
      </c>
      <c r="L27">
        <f t="shared" si="6"/>
        <v>10</v>
      </c>
      <c r="M27">
        <f t="shared" si="3"/>
        <v>5062</v>
      </c>
    </row>
    <row r="28" spans="1:16" x14ac:dyDescent="0.4">
      <c r="B28">
        <f t="shared" si="0"/>
        <v>23</v>
      </c>
      <c r="C28">
        <f t="shared" si="4"/>
        <v>1980</v>
      </c>
      <c r="D28" t="s">
        <v>317</v>
      </c>
      <c r="F28">
        <f t="shared" si="1"/>
        <v>1980.9166666666649</v>
      </c>
      <c r="G28">
        <f t="shared" si="2"/>
        <v>23</v>
      </c>
      <c r="H28">
        <f t="shared" si="5"/>
        <v>1980</v>
      </c>
      <c r="I28" t="s">
        <v>317</v>
      </c>
      <c r="L28">
        <f t="shared" si="6"/>
        <v>11</v>
      </c>
      <c r="M28">
        <f t="shared" si="3"/>
        <v>5303</v>
      </c>
    </row>
    <row r="29" spans="1:16" x14ac:dyDescent="0.4">
      <c r="B29">
        <f t="shared" si="0"/>
        <v>24</v>
      </c>
      <c r="C29">
        <f t="shared" si="4"/>
        <v>1980</v>
      </c>
      <c r="D29" t="s">
        <v>319</v>
      </c>
      <c r="F29">
        <f t="shared" si="1"/>
        <v>1980.9999999999982</v>
      </c>
      <c r="G29">
        <f t="shared" si="2"/>
        <v>24</v>
      </c>
      <c r="H29">
        <f t="shared" si="5"/>
        <v>1980</v>
      </c>
      <c r="I29" t="s">
        <v>319</v>
      </c>
      <c r="L29" s="42">
        <f t="shared" si="6"/>
        <v>12</v>
      </c>
      <c r="M29">
        <f t="shared" si="3"/>
        <v>5544</v>
      </c>
      <c r="P29">
        <f>P17+1</f>
        <v>2</v>
      </c>
    </row>
    <row r="30" spans="1:16" x14ac:dyDescent="0.4">
      <c r="A30">
        <v>1</v>
      </c>
      <c r="B30">
        <f t="shared" si="0"/>
        <v>25</v>
      </c>
      <c r="C30">
        <f t="shared" si="4"/>
        <v>1981</v>
      </c>
      <c r="D30" t="s">
        <v>306</v>
      </c>
      <c r="F30">
        <f t="shared" si="1"/>
        <v>1981.0833333333314</v>
      </c>
      <c r="G30">
        <f t="shared" si="2"/>
        <v>25</v>
      </c>
      <c r="H30">
        <f t="shared" si="5"/>
        <v>1981</v>
      </c>
      <c r="I30" t="s">
        <v>306</v>
      </c>
      <c r="L30">
        <f t="shared" si="6"/>
        <v>13</v>
      </c>
      <c r="M30">
        <f t="shared" si="3"/>
        <v>5785</v>
      </c>
    </row>
    <row r="31" spans="1:16" x14ac:dyDescent="0.4">
      <c r="A31">
        <f>A30+1</f>
        <v>2</v>
      </c>
      <c r="B31">
        <f t="shared" si="0"/>
        <v>26</v>
      </c>
      <c r="C31">
        <f t="shared" si="4"/>
        <v>1981</v>
      </c>
      <c r="D31" t="s">
        <v>307</v>
      </c>
      <c r="F31">
        <f t="shared" si="1"/>
        <v>1981.1666666666647</v>
      </c>
      <c r="G31">
        <f t="shared" si="2"/>
        <v>26</v>
      </c>
      <c r="H31">
        <f t="shared" si="5"/>
        <v>1981</v>
      </c>
      <c r="I31" t="s">
        <v>307</v>
      </c>
      <c r="L31">
        <f t="shared" si="6"/>
        <v>14</v>
      </c>
      <c r="M31">
        <f t="shared" si="3"/>
        <v>6026</v>
      </c>
    </row>
    <row r="32" spans="1:16" x14ac:dyDescent="0.4">
      <c r="A32">
        <f t="shared" ref="A32:A47" si="7">A31+1</f>
        <v>3</v>
      </c>
      <c r="B32">
        <f t="shared" si="0"/>
        <v>27</v>
      </c>
      <c r="C32">
        <f t="shared" si="4"/>
        <v>1981</v>
      </c>
      <c r="D32" t="s">
        <v>308</v>
      </c>
      <c r="F32">
        <f t="shared" si="1"/>
        <v>1981.249999999998</v>
      </c>
      <c r="G32">
        <f t="shared" si="2"/>
        <v>27</v>
      </c>
      <c r="H32">
        <f t="shared" si="5"/>
        <v>1981</v>
      </c>
      <c r="I32" t="s">
        <v>308</v>
      </c>
      <c r="L32">
        <f t="shared" si="6"/>
        <v>15</v>
      </c>
      <c r="M32">
        <f t="shared" si="3"/>
        <v>6267</v>
      </c>
    </row>
    <row r="33" spans="1:16" x14ac:dyDescent="0.4">
      <c r="A33">
        <f t="shared" si="7"/>
        <v>4</v>
      </c>
      <c r="B33">
        <f t="shared" si="0"/>
        <v>28</v>
      </c>
      <c r="C33">
        <f t="shared" si="4"/>
        <v>1981</v>
      </c>
      <c r="D33" t="s">
        <v>309</v>
      </c>
      <c r="F33">
        <f t="shared" si="1"/>
        <v>1981.3333333333312</v>
      </c>
      <c r="G33">
        <f t="shared" si="2"/>
        <v>28</v>
      </c>
      <c r="H33">
        <f t="shared" si="5"/>
        <v>1981</v>
      </c>
      <c r="I33" t="s">
        <v>309</v>
      </c>
      <c r="L33">
        <f t="shared" si="6"/>
        <v>16</v>
      </c>
      <c r="M33">
        <f t="shared" si="3"/>
        <v>6508</v>
      </c>
    </row>
    <row r="34" spans="1:16" x14ac:dyDescent="0.4">
      <c r="A34">
        <f t="shared" si="7"/>
        <v>5</v>
      </c>
      <c r="B34">
        <f t="shared" si="0"/>
        <v>29</v>
      </c>
      <c r="C34">
        <f t="shared" si="4"/>
        <v>1981</v>
      </c>
      <c r="D34" t="s">
        <v>310</v>
      </c>
      <c r="F34">
        <f t="shared" si="1"/>
        <v>1981.4166666666645</v>
      </c>
      <c r="G34">
        <f t="shared" si="2"/>
        <v>29</v>
      </c>
      <c r="H34">
        <f t="shared" si="5"/>
        <v>1981</v>
      </c>
      <c r="I34" t="s">
        <v>310</v>
      </c>
      <c r="L34">
        <f t="shared" si="6"/>
        <v>17</v>
      </c>
      <c r="M34">
        <f t="shared" si="3"/>
        <v>6749</v>
      </c>
    </row>
    <row r="35" spans="1:16" x14ac:dyDescent="0.4">
      <c r="A35">
        <f t="shared" si="7"/>
        <v>6</v>
      </c>
      <c r="B35">
        <f t="shared" si="0"/>
        <v>30</v>
      </c>
      <c r="C35">
        <f t="shared" si="4"/>
        <v>1981</v>
      </c>
      <c r="D35" t="s">
        <v>311</v>
      </c>
      <c r="F35">
        <f t="shared" si="1"/>
        <v>1981.4999999999977</v>
      </c>
      <c r="G35">
        <f t="shared" si="2"/>
        <v>30</v>
      </c>
      <c r="H35">
        <f t="shared" si="5"/>
        <v>1981</v>
      </c>
      <c r="I35" t="s">
        <v>311</v>
      </c>
      <c r="L35">
        <f t="shared" si="6"/>
        <v>18</v>
      </c>
      <c r="M35">
        <f t="shared" si="3"/>
        <v>6990</v>
      </c>
    </row>
    <row r="36" spans="1:16" x14ac:dyDescent="0.4">
      <c r="A36">
        <f t="shared" si="7"/>
        <v>7</v>
      </c>
      <c r="B36">
        <f t="shared" si="0"/>
        <v>31</v>
      </c>
      <c r="C36">
        <f t="shared" si="4"/>
        <v>1981</v>
      </c>
      <c r="D36" t="s">
        <v>312</v>
      </c>
      <c r="F36">
        <f t="shared" si="1"/>
        <v>1981.583333333331</v>
      </c>
      <c r="G36">
        <f t="shared" si="2"/>
        <v>31</v>
      </c>
      <c r="H36">
        <f t="shared" si="5"/>
        <v>1981</v>
      </c>
      <c r="I36" t="s">
        <v>312</v>
      </c>
      <c r="L36">
        <f t="shared" si="6"/>
        <v>19</v>
      </c>
      <c r="M36">
        <f t="shared" si="3"/>
        <v>7231</v>
      </c>
    </row>
    <row r="37" spans="1:16" x14ac:dyDescent="0.4">
      <c r="A37">
        <f t="shared" si="7"/>
        <v>8</v>
      </c>
      <c r="B37">
        <f t="shared" si="0"/>
        <v>32</v>
      </c>
      <c r="C37">
        <f t="shared" si="4"/>
        <v>1981</v>
      </c>
      <c r="D37" t="s">
        <v>313</v>
      </c>
      <c r="F37">
        <f t="shared" si="1"/>
        <v>1981.6666666666642</v>
      </c>
      <c r="G37">
        <f t="shared" si="2"/>
        <v>32</v>
      </c>
      <c r="H37">
        <f t="shared" si="5"/>
        <v>1981</v>
      </c>
      <c r="I37" t="s">
        <v>313</v>
      </c>
      <c r="L37">
        <f t="shared" si="6"/>
        <v>20</v>
      </c>
      <c r="M37">
        <f t="shared" si="3"/>
        <v>7472</v>
      </c>
    </row>
    <row r="38" spans="1:16" x14ac:dyDescent="0.4">
      <c r="A38">
        <f t="shared" si="7"/>
        <v>9</v>
      </c>
      <c r="B38">
        <f t="shared" si="0"/>
        <v>33</v>
      </c>
      <c r="C38">
        <f t="shared" si="4"/>
        <v>1981</v>
      </c>
      <c r="D38" t="s">
        <v>314</v>
      </c>
      <c r="F38">
        <f t="shared" si="1"/>
        <v>1981.7499999999975</v>
      </c>
      <c r="G38">
        <f t="shared" si="2"/>
        <v>33</v>
      </c>
      <c r="H38">
        <f t="shared" si="5"/>
        <v>1981</v>
      </c>
      <c r="I38" t="s">
        <v>314</v>
      </c>
      <c r="L38">
        <f t="shared" si="6"/>
        <v>21</v>
      </c>
      <c r="M38">
        <f t="shared" si="3"/>
        <v>7713</v>
      </c>
    </row>
    <row r="39" spans="1:16" x14ac:dyDescent="0.4">
      <c r="A39">
        <f t="shared" si="7"/>
        <v>10</v>
      </c>
      <c r="B39">
        <f t="shared" si="0"/>
        <v>34</v>
      </c>
      <c r="C39">
        <f t="shared" si="4"/>
        <v>1981</v>
      </c>
      <c r="D39" t="s">
        <v>316</v>
      </c>
      <c r="F39">
        <f t="shared" si="1"/>
        <v>1981.8333333333308</v>
      </c>
      <c r="G39">
        <f t="shared" si="2"/>
        <v>34</v>
      </c>
      <c r="H39">
        <f t="shared" si="5"/>
        <v>1981</v>
      </c>
      <c r="I39" t="s">
        <v>316</v>
      </c>
      <c r="L39">
        <f t="shared" si="6"/>
        <v>22</v>
      </c>
      <c r="M39">
        <f t="shared" si="3"/>
        <v>7954</v>
      </c>
    </row>
    <row r="40" spans="1:16" x14ac:dyDescent="0.4">
      <c r="A40">
        <f t="shared" si="7"/>
        <v>11</v>
      </c>
      <c r="B40">
        <f t="shared" si="0"/>
        <v>35</v>
      </c>
      <c r="C40">
        <f t="shared" si="4"/>
        <v>1981</v>
      </c>
      <c r="D40" t="s">
        <v>317</v>
      </c>
      <c r="F40">
        <f t="shared" si="1"/>
        <v>1981.916666666664</v>
      </c>
      <c r="G40">
        <f t="shared" si="2"/>
        <v>35</v>
      </c>
      <c r="H40">
        <f t="shared" si="5"/>
        <v>1981</v>
      </c>
      <c r="I40" t="s">
        <v>317</v>
      </c>
      <c r="L40">
        <f t="shared" si="6"/>
        <v>23</v>
      </c>
      <c r="M40">
        <f t="shared" si="3"/>
        <v>8195</v>
      </c>
    </row>
    <row r="41" spans="1:16" x14ac:dyDescent="0.4">
      <c r="A41">
        <f t="shared" si="7"/>
        <v>12</v>
      </c>
      <c r="B41">
        <f t="shared" si="0"/>
        <v>36</v>
      </c>
      <c r="C41">
        <f t="shared" si="4"/>
        <v>1981</v>
      </c>
      <c r="D41" t="s">
        <v>319</v>
      </c>
      <c r="F41">
        <f t="shared" si="1"/>
        <v>1981.9999999999973</v>
      </c>
      <c r="G41">
        <f t="shared" si="2"/>
        <v>36</v>
      </c>
      <c r="H41">
        <f t="shared" si="5"/>
        <v>1981</v>
      </c>
      <c r="I41" t="s">
        <v>319</v>
      </c>
      <c r="L41" s="42">
        <f t="shared" si="6"/>
        <v>24</v>
      </c>
      <c r="M41">
        <f t="shared" si="3"/>
        <v>8436</v>
      </c>
      <c r="P41">
        <f>P29+1</f>
        <v>3</v>
      </c>
    </row>
    <row r="42" spans="1:16" x14ac:dyDescent="0.4">
      <c r="A42">
        <f t="shared" si="7"/>
        <v>13</v>
      </c>
      <c r="B42" s="57">
        <f t="shared" si="0"/>
        <v>37</v>
      </c>
      <c r="C42" s="57">
        <f t="shared" si="4"/>
        <v>1982</v>
      </c>
      <c r="D42" s="57" t="s">
        <v>306</v>
      </c>
      <c r="F42">
        <f t="shared" si="1"/>
        <v>1982.0833333333305</v>
      </c>
      <c r="G42" s="57">
        <f t="shared" si="2"/>
        <v>37</v>
      </c>
      <c r="H42" s="57">
        <f t="shared" si="5"/>
        <v>1982</v>
      </c>
      <c r="I42" s="57" t="s">
        <v>306</v>
      </c>
      <c r="L42">
        <f t="shared" si="6"/>
        <v>25</v>
      </c>
      <c r="M42">
        <f t="shared" si="3"/>
        <v>8677</v>
      </c>
    </row>
    <row r="43" spans="1:16" x14ac:dyDescent="0.4">
      <c r="A43">
        <f t="shared" si="7"/>
        <v>14</v>
      </c>
      <c r="B43" s="57">
        <f t="shared" si="0"/>
        <v>38</v>
      </c>
      <c r="C43" s="57">
        <f t="shared" si="4"/>
        <v>1982</v>
      </c>
      <c r="D43" s="57" t="s">
        <v>307</v>
      </c>
      <c r="F43">
        <f t="shared" si="1"/>
        <v>1982.1666666666638</v>
      </c>
      <c r="G43" s="57">
        <f t="shared" si="2"/>
        <v>38</v>
      </c>
      <c r="H43" s="57">
        <f t="shared" si="5"/>
        <v>1982</v>
      </c>
      <c r="I43" s="57" t="s">
        <v>307</v>
      </c>
      <c r="L43">
        <f t="shared" si="6"/>
        <v>26</v>
      </c>
      <c r="M43">
        <f t="shared" si="3"/>
        <v>8918</v>
      </c>
    </row>
    <row r="44" spans="1:16" x14ac:dyDescent="0.4">
      <c r="A44">
        <f t="shared" si="7"/>
        <v>15</v>
      </c>
      <c r="B44" s="57">
        <f t="shared" si="0"/>
        <v>39</v>
      </c>
      <c r="C44" s="6">
        <f t="shared" si="4"/>
        <v>1982</v>
      </c>
      <c r="D44" s="6" t="s">
        <v>308</v>
      </c>
      <c r="E44" t="s">
        <v>321</v>
      </c>
      <c r="F44">
        <f t="shared" si="1"/>
        <v>1982.249999999997</v>
      </c>
      <c r="G44" s="57">
        <f t="shared" si="2"/>
        <v>39</v>
      </c>
      <c r="H44" s="6">
        <f t="shared" si="5"/>
        <v>1982</v>
      </c>
      <c r="I44" s="6" t="s">
        <v>308</v>
      </c>
      <c r="L44">
        <f t="shared" si="6"/>
        <v>27</v>
      </c>
      <c r="M44">
        <f t="shared" si="3"/>
        <v>9159</v>
      </c>
    </row>
    <row r="45" spans="1:16" x14ac:dyDescent="0.4">
      <c r="A45">
        <f t="shared" si="7"/>
        <v>16</v>
      </c>
      <c r="B45" s="57">
        <f t="shared" si="0"/>
        <v>40</v>
      </c>
      <c r="C45" s="6">
        <f t="shared" si="4"/>
        <v>1982</v>
      </c>
      <c r="D45" s="6" t="s">
        <v>309</v>
      </c>
      <c r="F45">
        <f t="shared" si="1"/>
        <v>1982.3333333333303</v>
      </c>
      <c r="G45" s="57">
        <f t="shared" si="2"/>
        <v>40</v>
      </c>
      <c r="H45" s="6">
        <f t="shared" si="5"/>
        <v>1982</v>
      </c>
      <c r="I45" s="6" t="s">
        <v>309</v>
      </c>
      <c r="L45">
        <f t="shared" si="6"/>
        <v>28</v>
      </c>
      <c r="M45">
        <f t="shared" si="3"/>
        <v>9400</v>
      </c>
    </row>
    <row r="46" spans="1:16" x14ac:dyDescent="0.4">
      <c r="A46">
        <f t="shared" si="7"/>
        <v>17</v>
      </c>
      <c r="B46" s="57">
        <f t="shared" si="0"/>
        <v>41</v>
      </c>
      <c r="C46" s="6">
        <f t="shared" si="4"/>
        <v>1982</v>
      </c>
      <c r="D46" s="6" t="s">
        <v>310</v>
      </c>
      <c r="F46">
        <f t="shared" si="1"/>
        <v>1982.4166666666636</v>
      </c>
      <c r="G46" s="57">
        <f t="shared" si="2"/>
        <v>41</v>
      </c>
      <c r="H46" s="6">
        <f t="shared" si="5"/>
        <v>1982</v>
      </c>
      <c r="I46" s="6" t="s">
        <v>310</v>
      </c>
      <c r="L46">
        <f t="shared" si="6"/>
        <v>29</v>
      </c>
      <c r="M46">
        <f t="shared" si="3"/>
        <v>9641</v>
      </c>
    </row>
    <row r="47" spans="1:16" x14ac:dyDescent="0.4">
      <c r="A47">
        <f t="shared" si="7"/>
        <v>18</v>
      </c>
      <c r="B47" s="57">
        <f t="shared" si="0"/>
        <v>42</v>
      </c>
      <c r="C47" s="57">
        <f t="shared" si="4"/>
        <v>1982</v>
      </c>
      <c r="D47" s="57" t="s">
        <v>311</v>
      </c>
      <c r="F47">
        <f t="shared" si="1"/>
        <v>1982.4999999999968</v>
      </c>
      <c r="G47" s="57">
        <f t="shared" si="2"/>
        <v>42</v>
      </c>
      <c r="H47" s="57">
        <f t="shared" si="5"/>
        <v>1982</v>
      </c>
      <c r="I47" s="57" t="s">
        <v>311</v>
      </c>
      <c r="L47">
        <f t="shared" si="6"/>
        <v>30</v>
      </c>
      <c r="M47">
        <f t="shared" si="3"/>
        <v>9882</v>
      </c>
    </row>
    <row r="48" spans="1:16" x14ac:dyDescent="0.4">
      <c r="A48">
        <f t="shared" ref="A48:A63" si="8">A47+1</f>
        <v>19</v>
      </c>
      <c r="B48" s="57">
        <f t="shared" si="0"/>
        <v>43</v>
      </c>
      <c r="C48" s="57">
        <f t="shared" si="4"/>
        <v>1982</v>
      </c>
      <c r="D48" s="57" t="s">
        <v>312</v>
      </c>
      <c r="F48">
        <f t="shared" si="1"/>
        <v>1982.5833333333301</v>
      </c>
      <c r="G48" s="57">
        <f t="shared" si="2"/>
        <v>43</v>
      </c>
      <c r="H48" s="57">
        <f t="shared" si="5"/>
        <v>1982</v>
      </c>
      <c r="I48" s="57" t="s">
        <v>312</v>
      </c>
      <c r="L48">
        <f t="shared" si="6"/>
        <v>31</v>
      </c>
      <c r="M48">
        <f t="shared" si="3"/>
        <v>10123</v>
      </c>
    </row>
    <row r="49" spans="1:16" x14ac:dyDescent="0.4">
      <c r="A49">
        <f t="shared" si="8"/>
        <v>20</v>
      </c>
      <c r="B49" s="57">
        <f t="shared" si="0"/>
        <v>44</v>
      </c>
      <c r="C49" s="57">
        <f t="shared" si="4"/>
        <v>1982</v>
      </c>
      <c r="D49" s="57" t="s">
        <v>313</v>
      </c>
      <c r="F49">
        <f t="shared" si="1"/>
        <v>1982.6666666666633</v>
      </c>
      <c r="G49" s="57">
        <f t="shared" si="2"/>
        <v>44</v>
      </c>
      <c r="H49" s="57">
        <f t="shared" si="5"/>
        <v>1982</v>
      </c>
      <c r="I49" s="57" t="s">
        <v>313</v>
      </c>
      <c r="L49">
        <f t="shared" si="6"/>
        <v>32</v>
      </c>
      <c r="M49">
        <f t="shared" si="3"/>
        <v>10364</v>
      </c>
    </row>
    <row r="50" spans="1:16" x14ac:dyDescent="0.4">
      <c r="A50">
        <f t="shared" si="8"/>
        <v>21</v>
      </c>
      <c r="B50" s="57">
        <f t="shared" si="0"/>
        <v>45</v>
      </c>
      <c r="C50" s="57">
        <f t="shared" si="4"/>
        <v>1982</v>
      </c>
      <c r="D50" s="57" t="s">
        <v>314</v>
      </c>
      <c r="F50">
        <f t="shared" si="1"/>
        <v>1982.7499999999966</v>
      </c>
      <c r="G50" s="57">
        <f t="shared" si="2"/>
        <v>45</v>
      </c>
      <c r="H50" s="57">
        <f t="shared" si="5"/>
        <v>1982</v>
      </c>
      <c r="I50" s="57" t="s">
        <v>314</v>
      </c>
      <c r="L50">
        <f t="shared" si="6"/>
        <v>33</v>
      </c>
      <c r="M50">
        <f t="shared" si="3"/>
        <v>10605</v>
      </c>
    </row>
    <row r="51" spans="1:16" x14ac:dyDescent="0.4">
      <c r="A51">
        <f t="shared" si="8"/>
        <v>22</v>
      </c>
      <c r="B51" s="57">
        <f t="shared" si="0"/>
        <v>46</v>
      </c>
      <c r="C51" s="57">
        <f t="shared" si="4"/>
        <v>1982</v>
      </c>
      <c r="D51" s="57" t="s">
        <v>316</v>
      </c>
      <c r="F51">
        <f t="shared" si="1"/>
        <v>1982.8333333333298</v>
      </c>
      <c r="G51" s="57">
        <f t="shared" si="2"/>
        <v>46</v>
      </c>
      <c r="H51" s="57">
        <f t="shared" si="5"/>
        <v>1982</v>
      </c>
      <c r="I51" s="57" t="s">
        <v>316</v>
      </c>
      <c r="L51">
        <f t="shared" si="6"/>
        <v>34</v>
      </c>
      <c r="M51">
        <f t="shared" si="3"/>
        <v>10846</v>
      </c>
    </row>
    <row r="52" spans="1:16" x14ac:dyDescent="0.4">
      <c r="A52">
        <f t="shared" si="8"/>
        <v>23</v>
      </c>
      <c r="B52" s="57">
        <f t="shared" si="0"/>
        <v>47</v>
      </c>
      <c r="C52" s="57">
        <f t="shared" si="4"/>
        <v>1982</v>
      </c>
      <c r="D52" s="57" t="s">
        <v>317</v>
      </c>
      <c r="F52">
        <f t="shared" si="1"/>
        <v>1982.9166666666631</v>
      </c>
      <c r="G52" s="57">
        <f t="shared" si="2"/>
        <v>47</v>
      </c>
      <c r="H52" s="57">
        <f t="shared" si="5"/>
        <v>1982</v>
      </c>
      <c r="I52" s="57" t="s">
        <v>317</v>
      </c>
      <c r="L52">
        <f t="shared" si="6"/>
        <v>35</v>
      </c>
      <c r="M52">
        <f t="shared" si="3"/>
        <v>11087</v>
      </c>
    </row>
    <row r="53" spans="1:16" x14ac:dyDescent="0.4">
      <c r="A53">
        <f t="shared" si="8"/>
        <v>24</v>
      </c>
      <c r="B53" s="57">
        <f t="shared" si="0"/>
        <v>48</v>
      </c>
      <c r="C53" s="57">
        <f t="shared" si="4"/>
        <v>1982</v>
      </c>
      <c r="D53" s="57" t="s">
        <v>319</v>
      </c>
      <c r="F53">
        <f t="shared" si="1"/>
        <v>1982.9999999999964</v>
      </c>
      <c r="G53" s="57">
        <f t="shared" si="2"/>
        <v>48</v>
      </c>
      <c r="H53" s="57">
        <f t="shared" si="5"/>
        <v>1982</v>
      </c>
      <c r="I53" s="57" t="s">
        <v>319</v>
      </c>
      <c r="L53" s="42">
        <f t="shared" si="6"/>
        <v>36</v>
      </c>
      <c r="M53">
        <f t="shared" si="3"/>
        <v>11328</v>
      </c>
      <c r="P53">
        <f>P41+1</f>
        <v>4</v>
      </c>
    </row>
    <row r="54" spans="1:16" x14ac:dyDescent="0.4">
      <c r="A54">
        <f t="shared" si="8"/>
        <v>25</v>
      </c>
      <c r="B54" s="57">
        <f t="shared" si="0"/>
        <v>49</v>
      </c>
      <c r="C54" s="57">
        <f t="shared" si="4"/>
        <v>1983</v>
      </c>
      <c r="D54" s="57" t="s">
        <v>306</v>
      </c>
      <c r="F54">
        <f t="shared" si="1"/>
        <v>1983.0833333333296</v>
      </c>
      <c r="G54" s="57">
        <f t="shared" si="2"/>
        <v>49</v>
      </c>
      <c r="H54" s="57">
        <f t="shared" si="5"/>
        <v>1983</v>
      </c>
      <c r="I54" s="57" t="s">
        <v>306</v>
      </c>
      <c r="L54">
        <f t="shared" si="6"/>
        <v>37</v>
      </c>
      <c r="M54">
        <f t="shared" si="3"/>
        <v>11569</v>
      </c>
    </row>
    <row r="55" spans="1:16" x14ac:dyDescent="0.4">
      <c r="A55">
        <f t="shared" si="8"/>
        <v>26</v>
      </c>
      <c r="B55" s="57">
        <f t="shared" si="0"/>
        <v>50</v>
      </c>
      <c r="C55" s="57">
        <f t="shared" si="4"/>
        <v>1983</v>
      </c>
      <c r="D55" s="57" t="s">
        <v>307</v>
      </c>
      <c r="F55">
        <f t="shared" si="1"/>
        <v>1983.1666666666629</v>
      </c>
      <c r="G55" s="57">
        <f t="shared" si="2"/>
        <v>50</v>
      </c>
      <c r="H55" s="57">
        <f t="shared" si="5"/>
        <v>1983</v>
      </c>
      <c r="I55" s="57" t="s">
        <v>307</v>
      </c>
      <c r="L55">
        <f t="shared" si="6"/>
        <v>38</v>
      </c>
      <c r="M55">
        <f t="shared" si="3"/>
        <v>11810</v>
      </c>
    </row>
    <row r="56" spans="1:16" x14ac:dyDescent="0.4">
      <c r="A56">
        <f t="shared" si="8"/>
        <v>27</v>
      </c>
      <c r="B56" s="57">
        <f t="shared" si="0"/>
        <v>51</v>
      </c>
      <c r="C56" s="57">
        <f t="shared" si="4"/>
        <v>1983</v>
      </c>
      <c r="D56" s="57" t="s">
        <v>308</v>
      </c>
      <c r="F56">
        <f t="shared" si="1"/>
        <v>1983.2499999999961</v>
      </c>
      <c r="G56" s="57">
        <f t="shared" si="2"/>
        <v>51</v>
      </c>
      <c r="H56" s="57">
        <f t="shared" si="5"/>
        <v>1983</v>
      </c>
      <c r="I56" s="57" t="s">
        <v>308</v>
      </c>
      <c r="L56">
        <f t="shared" si="6"/>
        <v>39</v>
      </c>
      <c r="M56">
        <f t="shared" si="3"/>
        <v>12051</v>
      </c>
    </row>
    <row r="57" spans="1:16" x14ac:dyDescent="0.4">
      <c r="A57">
        <f t="shared" si="8"/>
        <v>28</v>
      </c>
      <c r="B57" s="57">
        <f t="shared" si="0"/>
        <v>52</v>
      </c>
      <c r="C57" s="57">
        <f t="shared" si="4"/>
        <v>1983</v>
      </c>
      <c r="D57" s="57" t="s">
        <v>309</v>
      </c>
      <c r="F57">
        <f t="shared" si="1"/>
        <v>1983.3333333333294</v>
      </c>
      <c r="G57" s="57">
        <f t="shared" si="2"/>
        <v>52</v>
      </c>
      <c r="H57" s="57">
        <f t="shared" si="5"/>
        <v>1983</v>
      </c>
      <c r="I57" s="57" t="s">
        <v>309</v>
      </c>
      <c r="L57">
        <f t="shared" si="6"/>
        <v>40</v>
      </c>
      <c r="M57">
        <f t="shared" si="3"/>
        <v>12292</v>
      </c>
    </row>
    <row r="58" spans="1:16" x14ac:dyDescent="0.4">
      <c r="A58">
        <f t="shared" si="8"/>
        <v>29</v>
      </c>
      <c r="B58" s="57">
        <f t="shared" si="0"/>
        <v>53</v>
      </c>
      <c r="C58" s="57">
        <f t="shared" si="4"/>
        <v>1983</v>
      </c>
      <c r="D58" s="57" t="s">
        <v>310</v>
      </c>
      <c r="F58">
        <f t="shared" si="1"/>
        <v>1983.4166666666626</v>
      </c>
      <c r="G58" s="57">
        <f t="shared" si="2"/>
        <v>53</v>
      </c>
      <c r="H58" s="57">
        <f t="shared" si="5"/>
        <v>1983</v>
      </c>
      <c r="I58" s="57" t="s">
        <v>310</v>
      </c>
      <c r="L58">
        <f t="shared" si="6"/>
        <v>41</v>
      </c>
      <c r="M58">
        <f t="shared" si="3"/>
        <v>12533</v>
      </c>
    </row>
    <row r="59" spans="1:16" x14ac:dyDescent="0.4">
      <c r="A59">
        <f t="shared" si="8"/>
        <v>30</v>
      </c>
      <c r="B59" s="57">
        <f t="shared" si="0"/>
        <v>54</v>
      </c>
      <c r="C59" s="57">
        <f t="shared" si="4"/>
        <v>1983</v>
      </c>
      <c r="D59" s="57" t="s">
        <v>311</v>
      </c>
      <c r="F59">
        <f t="shared" si="1"/>
        <v>1983.4999999999959</v>
      </c>
      <c r="G59" s="57">
        <f t="shared" si="2"/>
        <v>54</v>
      </c>
      <c r="H59" s="57">
        <f t="shared" si="5"/>
        <v>1983</v>
      </c>
      <c r="I59" s="57" t="s">
        <v>311</v>
      </c>
      <c r="L59">
        <f t="shared" si="6"/>
        <v>42</v>
      </c>
      <c r="M59">
        <f t="shared" si="3"/>
        <v>12774</v>
      </c>
    </row>
    <row r="60" spans="1:16" x14ac:dyDescent="0.4">
      <c r="A60">
        <f t="shared" si="8"/>
        <v>31</v>
      </c>
      <c r="B60" s="57">
        <f t="shared" si="0"/>
        <v>55</v>
      </c>
      <c r="C60" s="57">
        <f t="shared" si="4"/>
        <v>1983</v>
      </c>
      <c r="D60" s="57" t="s">
        <v>312</v>
      </c>
      <c r="F60">
        <f t="shared" si="1"/>
        <v>1983.5833333333292</v>
      </c>
      <c r="G60" s="57">
        <f t="shared" si="2"/>
        <v>55</v>
      </c>
      <c r="H60" s="57">
        <f t="shared" si="5"/>
        <v>1983</v>
      </c>
      <c r="I60" s="57" t="s">
        <v>312</v>
      </c>
      <c r="L60">
        <f t="shared" si="6"/>
        <v>43</v>
      </c>
      <c r="M60">
        <f t="shared" si="3"/>
        <v>13015</v>
      </c>
    </row>
    <row r="61" spans="1:16" x14ac:dyDescent="0.4">
      <c r="A61">
        <f t="shared" si="8"/>
        <v>32</v>
      </c>
      <c r="B61" s="57">
        <f t="shared" si="0"/>
        <v>56</v>
      </c>
      <c r="C61" s="57">
        <f t="shared" si="4"/>
        <v>1983</v>
      </c>
      <c r="D61" s="57" t="s">
        <v>313</v>
      </c>
      <c r="F61">
        <f t="shared" si="1"/>
        <v>1983.6666666666624</v>
      </c>
      <c r="G61" s="57">
        <f t="shared" si="2"/>
        <v>56</v>
      </c>
      <c r="H61" s="57">
        <f t="shared" si="5"/>
        <v>1983</v>
      </c>
      <c r="I61" s="57" t="s">
        <v>313</v>
      </c>
      <c r="L61">
        <f t="shared" si="6"/>
        <v>44</v>
      </c>
      <c r="M61">
        <f t="shared" si="3"/>
        <v>13256</v>
      </c>
    </row>
    <row r="62" spans="1:16" x14ac:dyDescent="0.4">
      <c r="A62">
        <f t="shared" si="8"/>
        <v>33</v>
      </c>
      <c r="B62" s="57">
        <f t="shared" si="0"/>
        <v>57</v>
      </c>
      <c r="C62" s="57">
        <f t="shared" si="4"/>
        <v>1983</v>
      </c>
      <c r="D62" s="57" t="s">
        <v>314</v>
      </c>
      <c r="F62">
        <f t="shared" si="1"/>
        <v>1983.7499999999957</v>
      </c>
      <c r="G62" s="57">
        <f t="shared" si="2"/>
        <v>57</v>
      </c>
      <c r="H62" s="57">
        <f t="shared" si="5"/>
        <v>1983</v>
      </c>
      <c r="I62" s="57" t="s">
        <v>314</v>
      </c>
      <c r="L62">
        <f t="shared" si="6"/>
        <v>45</v>
      </c>
      <c r="M62">
        <f t="shared" si="3"/>
        <v>13497</v>
      </c>
    </row>
    <row r="63" spans="1:16" x14ac:dyDescent="0.4">
      <c r="A63">
        <f t="shared" si="8"/>
        <v>34</v>
      </c>
      <c r="B63" s="57">
        <f t="shared" si="0"/>
        <v>58</v>
      </c>
      <c r="C63" s="57">
        <f t="shared" si="4"/>
        <v>1983</v>
      </c>
      <c r="D63" s="57" t="s">
        <v>316</v>
      </c>
      <c r="F63">
        <f t="shared" si="1"/>
        <v>1983.8333333333289</v>
      </c>
      <c r="G63" s="57">
        <f t="shared" si="2"/>
        <v>58</v>
      </c>
      <c r="H63" s="57">
        <f t="shared" si="5"/>
        <v>1983</v>
      </c>
      <c r="I63" s="57" t="s">
        <v>316</v>
      </c>
      <c r="L63">
        <f t="shared" si="6"/>
        <v>46</v>
      </c>
      <c r="M63">
        <f t="shared" si="3"/>
        <v>13738</v>
      </c>
    </row>
    <row r="64" spans="1:16" x14ac:dyDescent="0.4">
      <c r="A64">
        <f t="shared" ref="A64:B79" si="9">A63+1</f>
        <v>35</v>
      </c>
      <c r="B64" s="57">
        <f t="shared" si="0"/>
        <v>59</v>
      </c>
      <c r="C64" s="57">
        <f t="shared" si="4"/>
        <v>1983</v>
      </c>
      <c r="D64" s="57" t="s">
        <v>317</v>
      </c>
      <c r="F64">
        <f t="shared" si="1"/>
        <v>1983.9166666666622</v>
      </c>
      <c r="G64" s="57">
        <f t="shared" si="2"/>
        <v>59</v>
      </c>
      <c r="H64" s="57">
        <f t="shared" si="5"/>
        <v>1983</v>
      </c>
      <c r="I64" s="57" t="s">
        <v>317</v>
      </c>
      <c r="L64">
        <f t="shared" si="6"/>
        <v>47</v>
      </c>
      <c r="M64">
        <f t="shared" si="3"/>
        <v>13979</v>
      </c>
    </row>
    <row r="65" spans="1:17" x14ac:dyDescent="0.4">
      <c r="A65">
        <f t="shared" si="9"/>
        <v>36</v>
      </c>
      <c r="B65" s="89">
        <f t="shared" si="0"/>
        <v>60</v>
      </c>
      <c r="C65" s="89">
        <f t="shared" si="4"/>
        <v>1983</v>
      </c>
      <c r="D65" s="89" t="s">
        <v>319</v>
      </c>
      <c r="F65">
        <f t="shared" si="1"/>
        <v>1983.9999999999955</v>
      </c>
      <c r="G65" s="89">
        <f t="shared" si="2"/>
        <v>60</v>
      </c>
      <c r="H65" s="89">
        <f t="shared" si="5"/>
        <v>1983</v>
      </c>
      <c r="I65" s="89" t="s">
        <v>319</v>
      </c>
      <c r="K65" s="42"/>
      <c r="L65" s="42">
        <f t="shared" si="6"/>
        <v>48</v>
      </c>
      <c r="M65">
        <f t="shared" si="3"/>
        <v>14220</v>
      </c>
      <c r="P65">
        <f>P53+1</f>
        <v>5</v>
      </c>
    </row>
    <row r="66" spans="1:17" x14ac:dyDescent="0.4">
      <c r="A66">
        <f t="shared" si="9"/>
        <v>37</v>
      </c>
      <c r="B66" s="57">
        <f t="shared" si="0"/>
        <v>61</v>
      </c>
      <c r="C66" s="57">
        <f t="shared" si="4"/>
        <v>1984</v>
      </c>
      <c r="D66" s="57" t="s">
        <v>306</v>
      </c>
      <c r="E66">
        <v>1</v>
      </c>
      <c r="F66">
        <f t="shared" si="1"/>
        <v>1984.0833333333287</v>
      </c>
      <c r="G66" s="57">
        <f t="shared" si="2"/>
        <v>61</v>
      </c>
      <c r="H66" s="57">
        <f t="shared" si="5"/>
        <v>1984</v>
      </c>
      <c r="I66" s="57" t="s">
        <v>306</v>
      </c>
      <c r="L66">
        <f t="shared" si="6"/>
        <v>49</v>
      </c>
      <c r="M66">
        <f t="shared" si="3"/>
        <v>14461</v>
      </c>
    </row>
    <row r="67" spans="1:17" x14ac:dyDescent="0.4">
      <c r="A67">
        <f t="shared" si="9"/>
        <v>38</v>
      </c>
      <c r="B67" s="57">
        <f t="shared" si="0"/>
        <v>62</v>
      </c>
      <c r="C67" s="57">
        <f t="shared" si="4"/>
        <v>1984</v>
      </c>
      <c r="D67" s="57" t="s">
        <v>307</v>
      </c>
      <c r="E67">
        <f t="shared" ref="E67:E125" si="10">E66+1</f>
        <v>2</v>
      </c>
      <c r="F67">
        <f t="shared" si="1"/>
        <v>1984.166666666662</v>
      </c>
      <c r="G67" s="57">
        <f t="shared" si="2"/>
        <v>62</v>
      </c>
      <c r="H67" s="57">
        <f t="shared" si="5"/>
        <v>1984</v>
      </c>
      <c r="I67" s="57" t="s">
        <v>307</v>
      </c>
      <c r="L67">
        <f t="shared" si="6"/>
        <v>50</v>
      </c>
      <c r="M67">
        <f t="shared" si="3"/>
        <v>14702</v>
      </c>
    </row>
    <row r="68" spans="1:17" x14ac:dyDescent="0.4">
      <c r="A68">
        <f t="shared" si="9"/>
        <v>39</v>
      </c>
      <c r="B68" s="57">
        <f t="shared" si="0"/>
        <v>63</v>
      </c>
      <c r="C68" s="57">
        <f t="shared" si="4"/>
        <v>1984</v>
      </c>
      <c r="D68" s="57" t="s">
        <v>308</v>
      </c>
      <c r="E68">
        <f t="shared" si="10"/>
        <v>3</v>
      </c>
      <c r="F68">
        <f t="shared" si="1"/>
        <v>1984.2499999999952</v>
      </c>
      <c r="G68" s="57">
        <f t="shared" si="2"/>
        <v>63</v>
      </c>
      <c r="H68" s="57">
        <f t="shared" si="5"/>
        <v>1984</v>
      </c>
      <c r="I68" s="57" t="s">
        <v>308</v>
      </c>
      <c r="L68">
        <f t="shared" si="6"/>
        <v>51</v>
      </c>
      <c r="M68">
        <f t="shared" si="3"/>
        <v>14943</v>
      </c>
    </row>
    <row r="69" spans="1:17" x14ac:dyDescent="0.4">
      <c r="A69">
        <f t="shared" si="9"/>
        <v>40</v>
      </c>
      <c r="B69" s="57">
        <f t="shared" si="0"/>
        <v>64</v>
      </c>
      <c r="C69" s="57">
        <f t="shared" si="4"/>
        <v>1984</v>
      </c>
      <c r="D69" s="57" t="s">
        <v>309</v>
      </c>
      <c r="E69">
        <f t="shared" si="10"/>
        <v>4</v>
      </c>
      <c r="F69">
        <f t="shared" si="1"/>
        <v>1984.3333333333285</v>
      </c>
      <c r="G69" s="57">
        <f t="shared" si="2"/>
        <v>64</v>
      </c>
      <c r="H69" s="57">
        <f t="shared" si="5"/>
        <v>1984</v>
      </c>
      <c r="I69" s="57" t="s">
        <v>309</v>
      </c>
      <c r="L69">
        <f t="shared" si="6"/>
        <v>52</v>
      </c>
      <c r="M69">
        <f t="shared" si="3"/>
        <v>15184</v>
      </c>
    </row>
    <row r="70" spans="1:17" x14ac:dyDescent="0.4">
      <c r="A70">
        <f t="shared" si="9"/>
        <v>41</v>
      </c>
      <c r="B70" s="57">
        <f t="shared" si="0"/>
        <v>65</v>
      </c>
      <c r="C70" s="57">
        <f t="shared" si="4"/>
        <v>1984</v>
      </c>
      <c r="D70" s="57" t="s">
        <v>310</v>
      </c>
      <c r="E70">
        <f t="shared" si="10"/>
        <v>5</v>
      </c>
      <c r="F70">
        <f t="shared" si="1"/>
        <v>1984.4166666666617</v>
      </c>
      <c r="G70" s="57">
        <f t="shared" si="2"/>
        <v>65</v>
      </c>
      <c r="H70" s="57">
        <f t="shared" si="5"/>
        <v>1984</v>
      </c>
      <c r="I70" s="57" t="s">
        <v>310</v>
      </c>
      <c r="L70">
        <f t="shared" si="6"/>
        <v>53</v>
      </c>
      <c r="M70">
        <f t="shared" si="3"/>
        <v>15425</v>
      </c>
    </row>
    <row r="71" spans="1:17" x14ac:dyDescent="0.4">
      <c r="A71">
        <f t="shared" si="9"/>
        <v>42</v>
      </c>
      <c r="B71" s="57">
        <f t="shared" si="0"/>
        <v>66</v>
      </c>
      <c r="C71" s="57">
        <f t="shared" si="4"/>
        <v>1984</v>
      </c>
      <c r="D71" s="57" t="s">
        <v>311</v>
      </c>
      <c r="E71">
        <f t="shared" si="10"/>
        <v>6</v>
      </c>
      <c r="F71">
        <f t="shared" si="1"/>
        <v>1984.499999999995</v>
      </c>
      <c r="G71" s="57">
        <f t="shared" si="2"/>
        <v>66</v>
      </c>
      <c r="H71" s="57">
        <f t="shared" si="5"/>
        <v>1984</v>
      </c>
      <c r="I71" s="57" t="s">
        <v>311</v>
      </c>
      <c r="L71">
        <f t="shared" si="6"/>
        <v>54</v>
      </c>
      <c r="M71">
        <f t="shared" si="3"/>
        <v>15666</v>
      </c>
    </row>
    <row r="72" spans="1:17" x14ac:dyDescent="0.4">
      <c r="A72">
        <f t="shared" si="9"/>
        <v>43</v>
      </c>
      <c r="B72" s="57">
        <f t="shared" si="9"/>
        <v>67</v>
      </c>
      <c r="C72" s="57">
        <f t="shared" si="4"/>
        <v>1984</v>
      </c>
      <c r="D72" s="57" t="s">
        <v>312</v>
      </c>
      <c r="E72">
        <f t="shared" si="10"/>
        <v>7</v>
      </c>
      <c r="F72">
        <f t="shared" ref="F72:F135" si="11">F71+1/12</f>
        <v>1984.5833333333283</v>
      </c>
      <c r="G72" s="57">
        <f t="shared" ref="G72:G135" si="12">G71+1</f>
        <v>67</v>
      </c>
      <c r="H72" s="57">
        <f t="shared" si="5"/>
        <v>1984</v>
      </c>
      <c r="I72" s="57" t="s">
        <v>312</v>
      </c>
      <c r="L72">
        <f t="shared" si="6"/>
        <v>55</v>
      </c>
      <c r="M72">
        <f t="shared" ref="M72:M135" si="13">M71+241</f>
        <v>15907</v>
      </c>
      <c r="O72" s="90">
        <f>G72</f>
        <v>67</v>
      </c>
    </row>
    <row r="73" spans="1:17" x14ac:dyDescent="0.4">
      <c r="A73">
        <f t="shared" si="9"/>
        <v>44</v>
      </c>
      <c r="B73" s="57">
        <f t="shared" si="9"/>
        <v>68</v>
      </c>
      <c r="C73" s="57">
        <f t="shared" si="4"/>
        <v>1984</v>
      </c>
      <c r="D73" s="57" t="s">
        <v>313</v>
      </c>
      <c r="E73">
        <f t="shared" si="10"/>
        <v>8</v>
      </c>
      <c r="F73">
        <f t="shared" si="11"/>
        <v>1984.6666666666615</v>
      </c>
      <c r="G73" s="57">
        <f t="shared" si="12"/>
        <v>68</v>
      </c>
      <c r="H73" s="57">
        <f t="shared" si="5"/>
        <v>1984</v>
      </c>
      <c r="I73" s="57" t="s">
        <v>313</v>
      </c>
      <c r="L73">
        <f t="shared" si="6"/>
        <v>56</v>
      </c>
      <c r="M73">
        <f t="shared" si="13"/>
        <v>16148</v>
      </c>
    </row>
    <row r="74" spans="1:17" x14ac:dyDescent="0.4">
      <c r="A74">
        <f t="shared" si="9"/>
        <v>45</v>
      </c>
      <c r="B74" s="57">
        <f t="shared" si="9"/>
        <v>69</v>
      </c>
      <c r="C74" s="57">
        <f t="shared" si="4"/>
        <v>1984</v>
      </c>
      <c r="D74" s="57" t="s">
        <v>314</v>
      </c>
      <c r="E74">
        <f t="shared" si="10"/>
        <v>9</v>
      </c>
      <c r="F74">
        <f t="shared" si="11"/>
        <v>1984.7499999999948</v>
      </c>
      <c r="G74" s="57">
        <f t="shared" si="12"/>
        <v>69</v>
      </c>
      <c r="H74" s="57">
        <f t="shared" si="5"/>
        <v>1984</v>
      </c>
      <c r="I74" s="57" t="s">
        <v>314</v>
      </c>
      <c r="L74">
        <f t="shared" si="6"/>
        <v>57</v>
      </c>
      <c r="M74">
        <f t="shared" si="13"/>
        <v>16389</v>
      </c>
    </row>
    <row r="75" spans="1:17" x14ac:dyDescent="0.4">
      <c r="A75">
        <f t="shared" si="9"/>
        <v>46</v>
      </c>
      <c r="B75" s="57">
        <f t="shared" si="9"/>
        <v>70</v>
      </c>
      <c r="C75" s="57">
        <f t="shared" si="4"/>
        <v>1984</v>
      </c>
      <c r="D75" s="57" t="s">
        <v>316</v>
      </c>
      <c r="E75">
        <f t="shared" si="10"/>
        <v>10</v>
      </c>
      <c r="F75">
        <f t="shared" si="11"/>
        <v>1984.833333333328</v>
      </c>
      <c r="G75" s="57">
        <f t="shared" si="12"/>
        <v>70</v>
      </c>
      <c r="H75" s="57">
        <f t="shared" si="5"/>
        <v>1984</v>
      </c>
      <c r="I75" s="57" t="s">
        <v>316</v>
      </c>
      <c r="L75">
        <f t="shared" si="6"/>
        <v>58</v>
      </c>
      <c r="M75">
        <f t="shared" si="13"/>
        <v>16630</v>
      </c>
    </row>
    <row r="76" spans="1:17" x14ac:dyDescent="0.4">
      <c r="A76">
        <f t="shared" si="9"/>
        <v>47</v>
      </c>
      <c r="B76" s="57">
        <f t="shared" si="9"/>
        <v>71</v>
      </c>
      <c r="C76" s="57">
        <f t="shared" si="4"/>
        <v>1984</v>
      </c>
      <c r="D76" s="57" t="s">
        <v>317</v>
      </c>
      <c r="E76">
        <f t="shared" si="10"/>
        <v>11</v>
      </c>
      <c r="F76">
        <f t="shared" si="11"/>
        <v>1984.9166666666613</v>
      </c>
      <c r="G76" s="57">
        <f t="shared" si="12"/>
        <v>71</v>
      </c>
      <c r="H76" s="57">
        <f t="shared" si="5"/>
        <v>1984</v>
      </c>
      <c r="I76" s="57" t="s">
        <v>317</v>
      </c>
      <c r="L76">
        <f t="shared" si="6"/>
        <v>59</v>
      </c>
      <c r="M76">
        <f t="shared" si="13"/>
        <v>16871</v>
      </c>
    </row>
    <row r="77" spans="1:17" x14ac:dyDescent="0.4">
      <c r="A77">
        <f t="shared" si="9"/>
        <v>48</v>
      </c>
      <c r="B77" s="89">
        <f t="shared" si="9"/>
        <v>72</v>
      </c>
      <c r="C77" s="89">
        <f t="shared" si="4"/>
        <v>1984</v>
      </c>
      <c r="D77" s="89" t="s">
        <v>319</v>
      </c>
      <c r="E77">
        <f t="shared" si="10"/>
        <v>12</v>
      </c>
      <c r="F77">
        <f t="shared" si="11"/>
        <v>1984.9999999999945</v>
      </c>
      <c r="G77" s="91">
        <f t="shared" si="12"/>
        <v>72</v>
      </c>
      <c r="H77" s="91">
        <f t="shared" si="5"/>
        <v>1984</v>
      </c>
      <c r="I77" s="91" t="s">
        <v>319</v>
      </c>
      <c r="L77" s="42">
        <f t="shared" si="6"/>
        <v>60</v>
      </c>
      <c r="M77">
        <f t="shared" si="13"/>
        <v>17112</v>
      </c>
      <c r="O77" s="92"/>
      <c r="P77">
        <f>P65+1</f>
        <v>6</v>
      </c>
      <c r="Q77" s="42"/>
    </row>
    <row r="78" spans="1:17" x14ac:dyDescent="0.4">
      <c r="A78">
        <f t="shared" si="9"/>
        <v>49</v>
      </c>
      <c r="B78" s="57">
        <f t="shared" si="9"/>
        <v>73</v>
      </c>
      <c r="C78" s="57">
        <f t="shared" si="4"/>
        <v>1985</v>
      </c>
      <c r="D78" s="57" t="s">
        <v>306</v>
      </c>
      <c r="E78">
        <f t="shared" si="10"/>
        <v>13</v>
      </c>
      <c r="F78">
        <f t="shared" si="11"/>
        <v>1985.0833333333278</v>
      </c>
      <c r="G78" s="57">
        <f t="shared" si="12"/>
        <v>73</v>
      </c>
      <c r="H78" s="57">
        <f t="shared" si="5"/>
        <v>1985</v>
      </c>
      <c r="I78" s="57" t="s">
        <v>306</v>
      </c>
      <c r="K78">
        <v>1</v>
      </c>
      <c r="L78">
        <v>1</v>
      </c>
      <c r="M78">
        <f t="shared" si="13"/>
        <v>17353</v>
      </c>
    </row>
    <row r="79" spans="1:17" x14ac:dyDescent="0.4">
      <c r="A79">
        <f t="shared" si="9"/>
        <v>50</v>
      </c>
      <c r="B79" s="57">
        <f t="shared" si="9"/>
        <v>74</v>
      </c>
      <c r="C79" s="57">
        <f t="shared" si="4"/>
        <v>1985</v>
      </c>
      <c r="D79" s="57" t="s">
        <v>307</v>
      </c>
      <c r="E79">
        <f t="shared" si="10"/>
        <v>14</v>
      </c>
      <c r="F79">
        <f t="shared" si="11"/>
        <v>1985.1666666666611</v>
      </c>
      <c r="G79" s="57">
        <f t="shared" si="12"/>
        <v>74</v>
      </c>
      <c r="H79" s="57">
        <f t="shared" si="5"/>
        <v>1985</v>
      </c>
      <c r="I79" s="57" t="s">
        <v>307</v>
      </c>
      <c r="K79">
        <f>K78+1</f>
        <v>2</v>
      </c>
      <c r="L79">
        <f>L78+1</f>
        <v>2</v>
      </c>
      <c r="M79">
        <f t="shared" si="13"/>
        <v>17594</v>
      </c>
    </row>
    <row r="80" spans="1:17" x14ac:dyDescent="0.4">
      <c r="A80">
        <f t="shared" ref="A80:B95" si="14">A79+1</f>
        <v>51</v>
      </c>
      <c r="B80" s="57">
        <f t="shared" si="14"/>
        <v>75</v>
      </c>
      <c r="C80" s="57">
        <f t="shared" si="4"/>
        <v>1985</v>
      </c>
      <c r="D80" s="57" t="s">
        <v>308</v>
      </c>
      <c r="E80">
        <f t="shared" si="10"/>
        <v>15</v>
      </c>
      <c r="F80">
        <f t="shared" si="11"/>
        <v>1985.2499999999943</v>
      </c>
      <c r="G80" s="57">
        <f t="shared" si="12"/>
        <v>75</v>
      </c>
      <c r="H80" s="57">
        <f t="shared" si="5"/>
        <v>1985</v>
      </c>
      <c r="I80" s="57" t="s">
        <v>308</v>
      </c>
      <c r="K80">
        <f t="shared" ref="K80:L137" si="15">K79+1</f>
        <v>3</v>
      </c>
      <c r="L80">
        <f t="shared" si="15"/>
        <v>3</v>
      </c>
      <c r="M80">
        <f t="shared" si="13"/>
        <v>17835</v>
      </c>
    </row>
    <row r="81" spans="1:16" x14ac:dyDescent="0.4">
      <c r="A81">
        <f t="shared" si="14"/>
        <v>52</v>
      </c>
      <c r="B81" s="57">
        <f t="shared" si="14"/>
        <v>76</v>
      </c>
      <c r="C81" s="57">
        <f t="shared" si="4"/>
        <v>1985</v>
      </c>
      <c r="D81" s="57" t="s">
        <v>309</v>
      </c>
      <c r="E81">
        <f t="shared" si="10"/>
        <v>16</v>
      </c>
      <c r="F81">
        <f t="shared" si="11"/>
        <v>1985.3333333333276</v>
      </c>
      <c r="G81" s="57">
        <f t="shared" si="12"/>
        <v>76</v>
      </c>
      <c r="H81" s="57">
        <f t="shared" si="5"/>
        <v>1985</v>
      </c>
      <c r="I81" s="57" t="s">
        <v>309</v>
      </c>
      <c r="K81">
        <f t="shared" si="15"/>
        <v>4</v>
      </c>
      <c r="L81">
        <f t="shared" si="15"/>
        <v>4</v>
      </c>
      <c r="M81">
        <f t="shared" si="13"/>
        <v>18076</v>
      </c>
    </row>
    <row r="82" spans="1:16" x14ac:dyDescent="0.4">
      <c r="A82">
        <f t="shared" si="14"/>
        <v>53</v>
      </c>
      <c r="B82" s="57">
        <f t="shared" si="14"/>
        <v>77</v>
      </c>
      <c r="C82" s="57">
        <f t="shared" si="4"/>
        <v>1985</v>
      </c>
      <c r="D82" s="57" t="s">
        <v>310</v>
      </c>
      <c r="E82">
        <f t="shared" si="10"/>
        <v>17</v>
      </c>
      <c r="F82">
        <f t="shared" si="11"/>
        <v>1985.4166666666608</v>
      </c>
      <c r="G82" s="57">
        <f t="shared" si="12"/>
        <v>77</v>
      </c>
      <c r="H82" s="57">
        <f t="shared" si="5"/>
        <v>1985</v>
      </c>
      <c r="I82" s="57" t="s">
        <v>310</v>
      </c>
      <c r="K82">
        <f t="shared" si="15"/>
        <v>5</v>
      </c>
      <c r="L82">
        <f t="shared" si="15"/>
        <v>5</v>
      </c>
      <c r="M82">
        <f t="shared" si="13"/>
        <v>18317</v>
      </c>
    </row>
    <row r="83" spans="1:16" x14ac:dyDescent="0.4">
      <c r="A83">
        <f t="shared" si="14"/>
        <v>54</v>
      </c>
      <c r="B83" s="57">
        <f t="shared" si="14"/>
        <v>78</v>
      </c>
      <c r="C83" s="57">
        <f t="shared" ref="C83:C146" si="16">C71+1</f>
        <v>1985</v>
      </c>
      <c r="D83" s="57" t="s">
        <v>311</v>
      </c>
      <c r="E83">
        <f t="shared" si="10"/>
        <v>18</v>
      </c>
      <c r="F83">
        <f t="shared" si="11"/>
        <v>1985.4999999999941</v>
      </c>
      <c r="G83" s="57">
        <f t="shared" si="12"/>
        <v>78</v>
      </c>
      <c r="H83" s="57">
        <f t="shared" ref="H83:H146" si="17">H71+1</f>
        <v>1985</v>
      </c>
      <c r="I83" s="57" t="s">
        <v>311</v>
      </c>
      <c r="K83">
        <f t="shared" si="15"/>
        <v>6</v>
      </c>
      <c r="L83">
        <f t="shared" si="15"/>
        <v>6</v>
      </c>
      <c r="M83">
        <f t="shared" si="13"/>
        <v>18558</v>
      </c>
    </row>
    <row r="84" spans="1:16" x14ac:dyDescent="0.4">
      <c r="A84">
        <f t="shared" si="14"/>
        <v>55</v>
      </c>
      <c r="B84" s="57">
        <f t="shared" si="14"/>
        <v>79</v>
      </c>
      <c r="C84" s="57">
        <f t="shared" si="16"/>
        <v>1985</v>
      </c>
      <c r="D84" s="57" t="s">
        <v>312</v>
      </c>
      <c r="E84">
        <f t="shared" si="10"/>
        <v>19</v>
      </c>
      <c r="F84">
        <f t="shared" si="11"/>
        <v>1985.5833333333273</v>
      </c>
      <c r="G84" s="57">
        <f t="shared" si="12"/>
        <v>79</v>
      </c>
      <c r="H84" s="57">
        <f t="shared" si="17"/>
        <v>1985</v>
      </c>
      <c r="I84" s="57" t="s">
        <v>312</v>
      </c>
      <c r="K84">
        <f t="shared" si="15"/>
        <v>7</v>
      </c>
      <c r="L84">
        <f t="shared" si="15"/>
        <v>7</v>
      </c>
      <c r="M84">
        <f t="shared" si="13"/>
        <v>18799</v>
      </c>
      <c r="O84" s="84">
        <f>G84</f>
        <v>79</v>
      </c>
    </row>
    <row r="85" spans="1:16" x14ac:dyDescent="0.4">
      <c r="A85">
        <f t="shared" si="14"/>
        <v>56</v>
      </c>
      <c r="B85" s="57">
        <f t="shared" si="14"/>
        <v>80</v>
      </c>
      <c r="C85" s="57">
        <f t="shared" si="16"/>
        <v>1985</v>
      </c>
      <c r="D85" s="57" t="s">
        <v>313</v>
      </c>
      <c r="E85">
        <f t="shared" si="10"/>
        <v>20</v>
      </c>
      <c r="F85">
        <f t="shared" si="11"/>
        <v>1985.6666666666606</v>
      </c>
      <c r="G85" s="57">
        <f t="shared" si="12"/>
        <v>80</v>
      </c>
      <c r="H85" s="57">
        <f t="shared" si="17"/>
        <v>1985</v>
      </c>
      <c r="I85" s="57" t="s">
        <v>313</v>
      </c>
      <c r="K85">
        <f t="shared" si="15"/>
        <v>8</v>
      </c>
      <c r="L85">
        <f t="shared" si="15"/>
        <v>8</v>
      </c>
      <c r="M85">
        <f t="shared" si="13"/>
        <v>19040</v>
      </c>
    </row>
    <row r="86" spans="1:16" x14ac:dyDescent="0.4">
      <c r="A86">
        <f t="shared" si="14"/>
        <v>57</v>
      </c>
      <c r="B86" s="57">
        <f t="shared" si="14"/>
        <v>81</v>
      </c>
      <c r="C86" s="57">
        <f t="shared" si="16"/>
        <v>1985</v>
      </c>
      <c r="D86" s="57" t="s">
        <v>314</v>
      </c>
      <c r="E86">
        <f t="shared" si="10"/>
        <v>21</v>
      </c>
      <c r="F86">
        <f t="shared" si="11"/>
        <v>1985.7499999999939</v>
      </c>
      <c r="G86" s="57">
        <f t="shared" si="12"/>
        <v>81</v>
      </c>
      <c r="H86" s="57">
        <f t="shared" si="17"/>
        <v>1985</v>
      </c>
      <c r="I86" s="57" t="s">
        <v>314</v>
      </c>
      <c r="K86">
        <f t="shared" si="15"/>
        <v>9</v>
      </c>
      <c r="L86">
        <f t="shared" si="15"/>
        <v>9</v>
      </c>
      <c r="M86">
        <f t="shared" si="13"/>
        <v>19281</v>
      </c>
    </row>
    <row r="87" spans="1:16" x14ac:dyDescent="0.4">
      <c r="A87">
        <f t="shared" si="14"/>
        <v>58</v>
      </c>
      <c r="B87" s="57">
        <f t="shared" si="14"/>
        <v>82</v>
      </c>
      <c r="C87" s="57">
        <f t="shared" si="16"/>
        <v>1985</v>
      </c>
      <c r="D87" s="57" t="s">
        <v>316</v>
      </c>
      <c r="E87">
        <f t="shared" si="10"/>
        <v>22</v>
      </c>
      <c r="F87">
        <f t="shared" si="11"/>
        <v>1985.8333333333271</v>
      </c>
      <c r="G87" s="57">
        <f t="shared" si="12"/>
        <v>82</v>
      </c>
      <c r="H87" s="57">
        <f t="shared" si="17"/>
        <v>1985</v>
      </c>
      <c r="I87" s="57" t="s">
        <v>316</v>
      </c>
      <c r="K87">
        <f t="shared" si="15"/>
        <v>10</v>
      </c>
      <c r="L87">
        <f t="shared" si="15"/>
        <v>10</v>
      </c>
      <c r="M87">
        <f t="shared" si="13"/>
        <v>19522</v>
      </c>
    </row>
    <row r="88" spans="1:16" x14ac:dyDescent="0.4">
      <c r="A88">
        <f t="shared" si="14"/>
        <v>59</v>
      </c>
      <c r="B88" s="57">
        <f t="shared" si="14"/>
        <v>83</v>
      </c>
      <c r="C88" s="57">
        <f t="shared" si="16"/>
        <v>1985</v>
      </c>
      <c r="D88" s="57" t="s">
        <v>317</v>
      </c>
      <c r="E88">
        <f t="shared" si="10"/>
        <v>23</v>
      </c>
      <c r="F88">
        <f t="shared" si="11"/>
        <v>1985.9166666666604</v>
      </c>
      <c r="G88" s="57">
        <f t="shared" si="12"/>
        <v>83</v>
      </c>
      <c r="H88" s="57">
        <f t="shared" si="17"/>
        <v>1985</v>
      </c>
      <c r="I88" s="57" t="s">
        <v>317</v>
      </c>
      <c r="K88">
        <f t="shared" si="15"/>
        <v>11</v>
      </c>
      <c r="L88">
        <f t="shared" si="15"/>
        <v>11</v>
      </c>
      <c r="M88">
        <f t="shared" si="13"/>
        <v>19763</v>
      </c>
    </row>
    <row r="89" spans="1:16" x14ac:dyDescent="0.4">
      <c r="A89">
        <f t="shared" si="14"/>
        <v>60</v>
      </c>
      <c r="B89" s="57">
        <f t="shared" si="14"/>
        <v>84</v>
      </c>
      <c r="C89" s="57">
        <f t="shared" si="16"/>
        <v>1985</v>
      </c>
      <c r="D89" s="57" t="s">
        <v>319</v>
      </c>
      <c r="E89">
        <f t="shared" si="10"/>
        <v>24</v>
      </c>
      <c r="F89">
        <f t="shared" si="11"/>
        <v>1985.9999999999936</v>
      </c>
      <c r="G89" s="57">
        <f t="shared" si="12"/>
        <v>84</v>
      </c>
      <c r="H89" s="57">
        <f t="shared" si="17"/>
        <v>1985</v>
      </c>
      <c r="I89" s="57" t="s">
        <v>319</v>
      </c>
      <c r="K89">
        <f t="shared" si="15"/>
        <v>12</v>
      </c>
      <c r="L89" s="42">
        <f t="shared" si="15"/>
        <v>12</v>
      </c>
      <c r="M89">
        <f t="shared" si="13"/>
        <v>20004</v>
      </c>
      <c r="P89">
        <f>P77+1</f>
        <v>7</v>
      </c>
    </row>
    <row r="90" spans="1:16" x14ac:dyDescent="0.4">
      <c r="A90">
        <v>1</v>
      </c>
      <c r="B90" s="93">
        <f t="shared" si="14"/>
        <v>85</v>
      </c>
      <c r="C90" s="57">
        <f t="shared" si="16"/>
        <v>1986</v>
      </c>
      <c r="D90" s="57" t="s">
        <v>306</v>
      </c>
      <c r="E90">
        <f t="shared" si="10"/>
        <v>25</v>
      </c>
      <c r="F90">
        <f t="shared" si="11"/>
        <v>1986.0833333333269</v>
      </c>
      <c r="G90" s="93">
        <f t="shared" si="12"/>
        <v>85</v>
      </c>
      <c r="H90" s="57">
        <f t="shared" si="17"/>
        <v>1986</v>
      </c>
      <c r="I90" s="57" t="s">
        <v>306</v>
      </c>
      <c r="K90">
        <f t="shared" si="15"/>
        <v>13</v>
      </c>
      <c r="L90">
        <f t="shared" si="15"/>
        <v>13</v>
      </c>
      <c r="M90">
        <f t="shared" si="13"/>
        <v>20245</v>
      </c>
    </row>
    <row r="91" spans="1:16" x14ac:dyDescent="0.4">
      <c r="A91">
        <f>A90+1</f>
        <v>2</v>
      </c>
      <c r="B91" s="57">
        <f t="shared" si="14"/>
        <v>86</v>
      </c>
      <c r="C91" s="57">
        <f t="shared" si="16"/>
        <v>1986</v>
      </c>
      <c r="D91" s="57" t="s">
        <v>307</v>
      </c>
      <c r="E91">
        <f t="shared" si="10"/>
        <v>26</v>
      </c>
      <c r="F91">
        <f t="shared" si="11"/>
        <v>1986.1666666666601</v>
      </c>
      <c r="G91" s="57">
        <f t="shared" si="12"/>
        <v>86</v>
      </c>
      <c r="H91" s="57">
        <f t="shared" si="17"/>
        <v>1986</v>
      </c>
      <c r="I91" s="57" t="s">
        <v>307</v>
      </c>
      <c r="K91">
        <f t="shared" si="15"/>
        <v>14</v>
      </c>
      <c r="L91">
        <f t="shared" si="15"/>
        <v>14</v>
      </c>
      <c r="M91">
        <f t="shared" si="13"/>
        <v>20486</v>
      </c>
    </row>
    <row r="92" spans="1:16" x14ac:dyDescent="0.4">
      <c r="A92">
        <f t="shared" ref="A92:B107" si="18">A91+1</f>
        <v>3</v>
      </c>
      <c r="B92" s="57">
        <f t="shared" si="14"/>
        <v>87</v>
      </c>
      <c r="C92" s="57">
        <f t="shared" si="16"/>
        <v>1986</v>
      </c>
      <c r="D92" s="57" t="s">
        <v>308</v>
      </c>
      <c r="E92">
        <f t="shared" si="10"/>
        <v>27</v>
      </c>
      <c r="F92">
        <f t="shared" si="11"/>
        <v>1986.2499999999934</v>
      </c>
      <c r="G92" s="57">
        <f t="shared" si="12"/>
        <v>87</v>
      </c>
      <c r="H92" s="57">
        <f t="shared" si="17"/>
        <v>1986</v>
      </c>
      <c r="I92" s="57" t="s">
        <v>308</v>
      </c>
      <c r="K92">
        <f t="shared" si="15"/>
        <v>15</v>
      </c>
      <c r="L92">
        <f t="shared" si="15"/>
        <v>15</v>
      </c>
      <c r="M92">
        <f t="shared" si="13"/>
        <v>20727</v>
      </c>
    </row>
    <row r="93" spans="1:16" x14ac:dyDescent="0.4">
      <c r="A93">
        <f t="shared" si="18"/>
        <v>4</v>
      </c>
      <c r="B93" s="57">
        <f t="shared" si="14"/>
        <v>88</v>
      </c>
      <c r="C93" s="57">
        <f t="shared" si="16"/>
        <v>1986</v>
      </c>
      <c r="D93" s="57" t="s">
        <v>309</v>
      </c>
      <c r="E93">
        <f t="shared" si="10"/>
        <v>28</v>
      </c>
      <c r="F93">
        <f t="shared" si="11"/>
        <v>1986.3333333333267</v>
      </c>
      <c r="G93" s="57">
        <f t="shared" si="12"/>
        <v>88</v>
      </c>
      <c r="H93" s="57">
        <f t="shared" si="17"/>
        <v>1986</v>
      </c>
      <c r="I93" s="57" t="s">
        <v>309</v>
      </c>
      <c r="K93">
        <f t="shared" si="15"/>
        <v>16</v>
      </c>
      <c r="L93">
        <f t="shared" si="15"/>
        <v>16</v>
      </c>
      <c r="M93">
        <f t="shared" si="13"/>
        <v>20968</v>
      </c>
    </row>
    <row r="94" spans="1:16" x14ac:dyDescent="0.4">
      <c r="A94">
        <f t="shared" si="18"/>
        <v>5</v>
      </c>
      <c r="B94" s="57">
        <f t="shared" si="14"/>
        <v>89</v>
      </c>
      <c r="C94" s="57">
        <f t="shared" si="16"/>
        <v>1986</v>
      </c>
      <c r="D94" s="57" t="s">
        <v>310</v>
      </c>
      <c r="E94">
        <f t="shared" si="10"/>
        <v>29</v>
      </c>
      <c r="F94">
        <f t="shared" si="11"/>
        <v>1986.4166666666599</v>
      </c>
      <c r="G94" s="57">
        <f t="shared" si="12"/>
        <v>89</v>
      </c>
      <c r="H94" s="57">
        <f t="shared" si="17"/>
        <v>1986</v>
      </c>
      <c r="I94" s="57" t="s">
        <v>310</v>
      </c>
      <c r="K94">
        <f t="shared" si="15"/>
        <v>17</v>
      </c>
      <c r="L94">
        <f t="shared" si="15"/>
        <v>17</v>
      </c>
      <c r="M94">
        <f t="shared" si="13"/>
        <v>21209</v>
      </c>
    </row>
    <row r="95" spans="1:16" x14ac:dyDescent="0.4">
      <c r="A95">
        <f t="shared" si="18"/>
        <v>6</v>
      </c>
      <c r="B95" s="57">
        <f t="shared" si="14"/>
        <v>90</v>
      </c>
      <c r="C95" s="57">
        <f t="shared" si="16"/>
        <v>1986</v>
      </c>
      <c r="D95" s="57" t="s">
        <v>311</v>
      </c>
      <c r="E95">
        <f t="shared" si="10"/>
        <v>30</v>
      </c>
      <c r="F95">
        <f t="shared" si="11"/>
        <v>1986.4999999999932</v>
      </c>
      <c r="G95" s="57">
        <f t="shared" si="12"/>
        <v>90</v>
      </c>
      <c r="H95" s="57">
        <f t="shared" si="17"/>
        <v>1986</v>
      </c>
      <c r="I95" s="57" t="s">
        <v>311</v>
      </c>
      <c r="K95">
        <f t="shared" si="15"/>
        <v>18</v>
      </c>
      <c r="L95">
        <f t="shared" si="15"/>
        <v>18</v>
      </c>
      <c r="M95">
        <f t="shared" si="13"/>
        <v>21450</v>
      </c>
    </row>
    <row r="96" spans="1:16" x14ac:dyDescent="0.4">
      <c r="A96">
        <f t="shared" si="18"/>
        <v>7</v>
      </c>
      <c r="B96" s="57">
        <f t="shared" si="18"/>
        <v>91</v>
      </c>
      <c r="C96" s="57">
        <f t="shared" si="16"/>
        <v>1986</v>
      </c>
      <c r="D96" s="57" t="s">
        <v>312</v>
      </c>
      <c r="E96">
        <f t="shared" si="10"/>
        <v>31</v>
      </c>
      <c r="F96">
        <f t="shared" si="11"/>
        <v>1986.5833333333264</v>
      </c>
      <c r="G96" s="57">
        <f t="shared" si="12"/>
        <v>91</v>
      </c>
      <c r="H96" s="57">
        <f t="shared" si="17"/>
        <v>1986</v>
      </c>
      <c r="I96" s="57" t="s">
        <v>312</v>
      </c>
      <c r="K96">
        <f t="shared" si="15"/>
        <v>19</v>
      </c>
      <c r="L96">
        <f t="shared" si="15"/>
        <v>19</v>
      </c>
      <c r="M96">
        <f t="shared" si="13"/>
        <v>21691</v>
      </c>
    </row>
    <row r="97" spans="1:16" x14ac:dyDescent="0.4">
      <c r="A97">
        <f t="shared" si="18"/>
        <v>8</v>
      </c>
      <c r="B97" s="57">
        <f t="shared" si="18"/>
        <v>92</v>
      </c>
      <c r="C97" s="57">
        <f t="shared" si="16"/>
        <v>1986</v>
      </c>
      <c r="D97" s="57" t="s">
        <v>313</v>
      </c>
      <c r="E97">
        <f t="shared" si="10"/>
        <v>32</v>
      </c>
      <c r="F97">
        <f t="shared" si="11"/>
        <v>1986.6666666666597</v>
      </c>
      <c r="G97" s="57">
        <f t="shared" si="12"/>
        <v>92</v>
      </c>
      <c r="H97" s="57">
        <f t="shared" si="17"/>
        <v>1986</v>
      </c>
      <c r="I97" s="57" t="s">
        <v>313</v>
      </c>
      <c r="K97">
        <f t="shared" si="15"/>
        <v>20</v>
      </c>
      <c r="L97">
        <f t="shared" si="15"/>
        <v>20</v>
      </c>
      <c r="M97">
        <f t="shared" si="13"/>
        <v>21932</v>
      </c>
    </row>
    <row r="98" spans="1:16" x14ac:dyDescent="0.4">
      <c r="A98">
        <f t="shared" si="18"/>
        <v>9</v>
      </c>
      <c r="B98" s="57">
        <f t="shared" si="18"/>
        <v>93</v>
      </c>
      <c r="C98" s="57">
        <f t="shared" si="16"/>
        <v>1986</v>
      </c>
      <c r="D98" s="57" t="s">
        <v>314</v>
      </c>
      <c r="E98">
        <f t="shared" si="10"/>
        <v>33</v>
      </c>
      <c r="F98">
        <f t="shared" si="11"/>
        <v>1986.749999999993</v>
      </c>
      <c r="G98" s="57">
        <f t="shared" si="12"/>
        <v>93</v>
      </c>
      <c r="H98" s="57">
        <f t="shared" si="17"/>
        <v>1986</v>
      </c>
      <c r="I98" s="57" t="s">
        <v>314</v>
      </c>
      <c r="K98">
        <f t="shared" si="15"/>
        <v>21</v>
      </c>
      <c r="L98">
        <f t="shared" si="15"/>
        <v>21</v>
      </c>
      <c r="M98">
        <f t="shared" si="13"/>
        <v>22173</v>
      </c>
    </row>
    <row r="99" spans="1:16" x14ac:dyDescent="0.4">
      <c r="A99">
        <f t="shared" si="18"/>
        <v>10</v>
      </c>
      <c r="B99" s="57">
        <f t="shared" si="18"/>
        <v>94</v>
      </c>
      <c r="C99" s="57">
        <f t="shared" si="16"/>
        <v>1986</v>
      </c>
      <c r="D99" s="57" t="s">
        <v>316</v>
      </c>
      <c r="E99">
        <f t="shared" si="10"/>
        <v>34</v>
      </c>
      <c r="F99">
        <f t="shared" si="11"/>
        <v>1986.8333333333262</v>
      </c>
      <c r="G99" s="57">
        <f t="shared" si="12"/>
        <v>94</v>
      </c>
      <c r="H99" s="57">
        <f t="shared" si="17"/>
        <v>1986</v>
      </c>
      <c r="I99" s="57" t="s">
        <v>316</v>
      </c>
      <c r="K99">
        <f t="shared" si="15"/>
        <v>22</v>
      </c>
      <c r="L99">
        <f t="shared" si="15"/>
        <v>22</v>
      </c>
      <c r="M99">
        <f t="shared" si="13"/>
        <v>22414</v>
      </c>
    </row>
    <row r="100" spans="1:16" x14ac:dyDescent="0.4">
      <c r="A100">
        <f t="shared" si="18"/>
        <v>11</v>
      </c>
      <c r="B100" s="57">
        <f t="shared" si="18"/>
        <v>95</v>
      </c>
      <c r="C100" s="57">
        <f t="shared" si="16"/>
        <v>1986</v>
      </c>
      <c r="D100" s="57" t="s">
        <v>317</v>
      </c>
      <c r="E100">
        <f t="shared" si="10"/>
        <v>35</v>
      </c>
      <c r="F100">
        <f t="shared" si="11"/>
        <v>1986.9166666666595</v>
      </c>
      <c r="G100" s="57">
        <f t="shared" si="12"/>
        <v>95</v>
      </c>
      <c r="H100" s="57">
        <f t="shared" si="17"/>
        <v>1986</v>
      </c>
      <c r="I100" s="57" t="s">
        <v>317</v>
      </c>
      <c r="K100">
        <f t="shared" si="15"/>
        <v>23</v>
      </c>
      <c r="L100">
        <f t="shared" si="15"/>
        <v>23</v>
      </c>
      <c r="M100">
        <f t="shared" si="13"/>
        <v>22655</v>
      </c>
    </row>
    <row r="101" spans="1:16" x14ac:dyDescent="0.4">
      <c r="A101">
        <f t="shared" si="18"/>
        <v>12</v>
      </c>
      <c r="B101" s="57">
        <f t="shared" si="18"/>
        <v>96</v>
      </c>
      <c r="C101" s="57">
        <f t="shared" si="16"/>
        <v>1986</v>
      </c>
      <c r="D101" s="57" t="s">
        <v>319</v>
      </c>
      <c r="E101">
        <f t="shared" si="10"/>
        <v>36</v>
      </c>
      <c r="F101">
        <f t="shared" si="11"/>
        <v>1986.9999999999927</v>
      </c>
      <c r="G101" s="57">
        <f t="shared" si="12"/>
        <v>96</v>
      </c>
      <c r="H101" s="57">
        <f t="shared" si="17"/>
        <v>1986</v>
      </c>
      <c r="I101" s="57" t="s">
        <v>319</v>
      </c>
      <c r="K101">
        <f t="shared" si="15"/>
        <v>24</v>
      </c>
      <c r="L101" s="42">
        <f t="shared" si="15"/>
        <v>24</v>
      </c>
      <c r="M101">
        <f t="shared" si="13"/>
        <v>22896</v>
      </c>
      <c r="P101">
        <f>P89+1</f>
        <v>8</v>
      </c>
    </row>
    <row r="102" spans="1:16" x14ac:dyDescent="0.4">
      <c r="A102">
        <f t="shared" si="18"/>
        <v>13</v>
      </c>
      <c r="B102" s="57">
        <f t="shared" si="18"/>
        <v>97</v>
      </c>
      <c r="C102" s="57">
        <f t="shared" si="16"/>
        <v>1987</v>
      </c>
      <c r="D102" s="57" t="s">
        <v>306</v>
      </c>
      <c r="E102">
        <f t="shared" si="10"/>
        <v>37</v>
      </c>
      <c r="F102">
        <f t="shared" si="11"/>
        <v>1987.083333333326</v>
      </c>
      <c r="G102" s="57">
        <f t="shared" si="12"/>
        <v>97</v>
      </c>
      <c r="H102" s="57">
        <f t="shared" si="17"/>
        <v>1987</v>
      </c>
      <c r="I102" s="57" t="s">
        <v>306</v>
      </c>
      <c r="K102">
        <f t="shared" si="15"/>
        <v>25</v>
      </c>
      <c r="L102">
        <f t="shared" si="15"/>
        <v>25</v>
      </c>
      <c r="M102">
        <f t="shared" si="13"/>
        <v>23137</v>
      </c>
    </row>
    <row r="103" spans="1:16" x14ac:dyDescent="0.4">
      <c r="A103">
        <f t="shared" si="18"/>
        <v>14</v>
      </c>
      <c r="B103" s="57">
        <f t="shared" si="18"/>
        <v>98</v>
      </c>
      <c r="C103" s="57">
        <f t="shared" si="16"/>
        <v>1987</v>
      </c>
      <c r="D103" s="57" t="s">
        <v>307</v>
      </c>
      <c r="E103">
        <f t="shared" si="10"/>
        <v>38</v>
      </c>
      <c r="F103">
        <f t="shared" si="11"/>
        <v>1987.1666666666592</v>
      </c>
      <c r="G103" s="57">
        <f t="shared" si="12"/>
        <v>98</v>
      </c>
      <c r="H103" s="57">
        <f t="shared" si="17"/>
        <v>1987</v>
      </c>
      <c r="I103" s="57" t="s">
        <v>307</v>
      </c>
      <c r="K103">
        <f t="shared" si="15"/>
        <v>26</v>
      </c>
      <c r="L103">
        <f t="shared" si="15"/>
        <v>26</v>
      </c>
      <c r="M103">
        <f t="shared" si="13"/>
        <v>23378</v>
      </c>
    </row>
    <row r="104" spans="1:16" x14ac:dyDescent="0.4">
      <c r="A104">
        <f t="shared" si="18"/>
        <v>15</v>
      </c>
      <c r="B104" s="57">
        <f t="shared" si="18"/>
        <v>99</v>
      </c>
      <c r="C104" s="57">
        <f t="shared" si="16"/>
        <v>1987</v>
      </c>
      <c r="D104" s="57" t="s">
        <v>308</v>
      </c>
      <c r="E104">
        <f t="shared" si="10"/>
        <v>39</v>
      </c>
      <c r="F104">
        <f t="shared" si="11"/>
        <v>1987.2499999999925</v>
      </c>
      <c r="G104" s="57">
        <f t="shared" si="12"/>
        <v>99</v>
      </c>
      <c r="H104" s="57">
        <f t="shared" si="17"/>
        <v>1987</v>
      </c>
      <c r="I104" s="57" t="s">
        <v>308</v>
      </c>
      <c r="K104">
        <f t="shared" si="15"/>
        <v>27</v>
      </c>
      <c r="L104">
        <f t="shared" si="15"/>
        <v>27</v>
      </c>
      <c r="M104">
        <f t="shared" si="13"/>
        <v>23619</v>
      </c>
    </row>
    <row r="105" spans="1:16" x14ac:dyDescent="0.4">
      <c r="A105">
        <f t="shared" si="18"/>
        <v>16</v>
      </c>
      <c r="B105" s="57">
        <f t="shared" si="18"/>
        <v>100</v>
      </c>
      <c r="C105" s="57">
        <f t="shared" si="16"/>
        <v>1987</v>
      </c>
      <c r="D105" s="57" t="s">
        <v>309</v>
      </c>
      <c r="E105">
        <f t="shared" si="10"/>
        <v>40</v>
      </c>
      <c r="F105">
        <f t="shared" si="11"/>
        <v>1987.3333333333258</v>
      </c>
      <c r="G105" s="57">
        <f t="shared" si="12"/>
        <v>100</v>
      </c>
      <c r="H105" s="57">
        <f t="shared" si="17"/>
        <v>1987</v>
      </c>
      <c r="I105" s="57" t="s">
        <v>309</v>
      </c>
      <c r="K105">
        <f t="shared" si="15"/>
        <v>28</v>
      </c>
      <c r="L105">
        <f t="shared" si="15"/>
        <v>28</v>
      </c>
      <c r="M105">
        <f t="shared" si="13"/>
        <v>23860</v>
      </c>
    </row>
    <row r="106" spans="1:16" x14ac:dyDescent="0.4">
      <c r="A106">
        <f t="shared" si="18"/>
        <v>17</v>
      </c>
      <c r="B106" s="57">
        <f t="shared" si="18"/>
        <v>101</v>
      </c>
      <c r="C106" s="57">
        <f t="shared" si="16"/>
        <v>1987</v>
      </c>
      <c r="D106" s="57" t="s">
        <v>310</v>
      </c>
      <c r="E106">
        <f t="shared" si="10"/>
        <v>41</v>
      </c>
      <c r="F106">
        <f t="shared" si="11"/>
        <v>1987.416666666659</v>
      </c>
      <c r="G106" s="57">
        <f t="shared" si="12"/>
        <v>101</v>
      </c>
      <c r="H106" s="57">
        <f t="shared" si="17"/>
        <v>1987</v>
      </c>
      <c r="I106" s="57" t="s">
        <v>310</v>
      </c>
      <c r="K106">
        <f t="shared" si="15"/>
        <v>29</v>
      </c>
      <c r="L106">
        <f t="shared" si="15"/>
        <v>29</v>
      </c>
      <c r="M106">
        <f t="shared" si="13"/>
        <v>24101</v>
      </c>
    </row>
    <row r="107" spans="1:16" x14ac:dyDescent="0.4">
      <c r="A107">
        <f t="shared" si="18"/>
        <v>18</v>
      </c>
      <c r="B107" s="57">
        <f t="shared" si="18"/>
        <v>102</v>
      </c>
      <c r="C107" s="57">
        <f t="shared" si="16"/>
        <v>1987</v>
      </c>
      <c r="D107" s="57" t="s">
        <v>311</v>
      </c>
      <c r="E107">
        <f t="shared" si="10"/>
        <v>42</v>
      </c>
      <c r="F107">
        <f t="shared" si="11"/>
        <v>1987.4999999999923</v>
      </c>
      <c r="G107" s="57">
        <f t="shared" si="12"/>
        <v>102</v>
      </c>
      <c r="H107" s="57">
        <f t="shared" si="17"/>
        <v>1987</v>
      </c>
      <c r="I107" s="57" t="s">
        <v>311</v>
      </c>
      <c r="K107">
        <f t="shared" si="15"/>
        <v>30</v>
      </c>
      <c r="L107">
        <f t="shared" si="15"/>
        <v>30</v>
      </c>
      <c r="M107">
        <f t="shared" si="13"/>
        <v>24342</v>
      </c>
    </row>
    <row r="108" spans="1:16" x14ac:dyDescent="0.4">
      <c r="A108">
        <f t="shared" ref="A108:B123" si="19">A107+1</f>
        <v>19</v>
      </c>
      <c r="B108" s="57">
        <f t="shared" si="19"/>
        <v>103</v>
      </c>
      <c r="C108" s="57">
        <f t="shared" si="16"/>
        <v>1987</v>
      </c>
      <c r="D108" s="57" t="s">
        <v>312</v>
      </c>
      <c r="E108">
        <f t="shared" si="10"/>
        <v>43</v>
      </c>
      <c r="F108">
        <f t="shared" si="11"/>
        <v>1987.5833333333255</v>
      </c>
      <c r="G108" s="57">
        <f t="shared" si="12"/>
        <v>103</v>
      </c>
      <c r="H108" s="57">
        <f t="shared" si="17"/>
        <v>1987</v>
      </c>
      <c r="I108" s="57" t="s">
        <v>312</v>
      </c>
      <c r="K108">
        <f t="shared" si="15"/>
        <v>31</v>
      </c>
      <c r="L108">
        <f t="shared" si="15"/>
        <v>31</v>
      </c>
      <c r="M108">
        <f t="shared" si="13"/>
        <v>24583</v>
      </c>
    </row>
    <row r="109" spans="1:16" x14ac:dyDescent="0.4">
      <c r="A109">
        <f t="shared" si="19"/>
        <v>20</v>
      </c>
      <c r="B109" s="57">
        <f t="shared" si="19"/>
        <v>104</v>
      </c>
      <c r="C109" s="57">
        <f t="shared" si="16"/>
        <v>1987</v>
      </c>
      <c r="D109" s="57" t="s">
        <v>313</v>
      </c>
      <c r="E109">
        <f t="shared" si="10"/>
        <v>44</v>
      </c>
      <c r="F109">
        <f t="shared" si="11"/>
        <v>1987.6666666666588</v>
      </c>
      <c r="G109" s="57">
        <f t="shared" si="12"/>
        <v>104</v>
      </c>
      <c r="H109" s="57">
        <f t="shared" si="17"/>
        <v>1987</v>
      </c>
      <c r="I109" s="57" t="s">
        <v>313</v>
      </c>
      <c r="K109">
        <f t="shared" si="15"/>
        <v>32</v>
      </c>
      <c r="L109">
        <f t="shared" si="15"/>
        <v>32</v>
      </c>
      <c r="M109">
        <f t="shared" si="13"/>
        <v>24824</v>
      </c>
    </row>
    <row r="110" spans="1:16" x14ac:dyDescent="0.4">
      <c r="A110">
        <f t="shared" si="19"/>
        <v>21</v>
      </c>
      <c r="B110" s="57">
        <f t="shared" si="19"/>
        <v>105</v>
      </c>
      <c r="C110" s="57">
        <f t="shared" si="16"/>
        <v>1987</v>
      </c>
      <c r="D110" s="57" t="s">
        <v>314</v>
      </c>
      <c r="E110">
        <f t="shared" si="10"/>
        <v>45</v>
      </c>
      <c r="F110">
        <f t="shared" si="11"/>
        <v>1987.749999999992</v>
      </c>
      <c r="G110" s="57">
        <f t="shared" si="12"/>
        <v>105</v>
      </c>
      <c r="H110" s="57">
        <f t="shared" si="17"/>
        <v>1987</v>
      </c>
      <c r="I110" s="57" t="s">
        <v>314</v>
      </c>
      <c r="K110">
        <f t="shared" si="15"/>
        <v>33</v>
      </c>
      <c r="L110">
        <f t="shared" si="15"/>
        <v>33</v>
      </c>
      <c r="M110">
        <f t="shared" si="13"/>
        <v>25065</v>
      </c>
    </row>
    <row r="111" spans="1:16" x14ac:dyDescent="0.4">
      <c r="A111">
        <f t="shared" si="19"/>
        <v>22</v>
      </c>
      <c r="B111" s="57">
        <f t="shared" si="19"/>
        <v>106</v>
      </c>
      <c r="C111" s="57">
        <f t="shared" si="16"/>
        <v>1987</v>
      </c>
      <c r="D111" s="57" t="s">
        <v>316</v>
      </c>
      <c r="E111">
        <f t="shared" si="10"/>
        <v>46</v>
      </c>
      <c r="F111">
        <f t="shared" si="11"/>
        <v>1987.8333333333253</v>
      </c>
      <c r="G111" s="57">
        <f t="shared" si="12"/>
        <v>106</v>
      </c>
      <c r="H111" s="57">
        <f t="shared" si="17"/>
        <v>1987</v>
      </c>
      <c r="I111" s="57" t="s">
        <v>316</v>
      </c>
      <c r="K111">
        <f t="shared" si="15"/>
        <v>34</v>
      </c>
      <c r="L111">
        <f t="shared" si="15"/>
        <v>34</v>
      </c>
      <c r="M111">
        <f t="shared" si="13"/>
        <v>25306</v>
      </c>
    </row>
    <row r="112" spans="1:16" x14ac:dyDescent="0.4">
      <c r="A112">
        <f t="shared" si="19"/>
        <v>23</v>
      </c>
      <c r="B112" s="57">
        <f t="shared" si="19"/>
        <v>107</v>
      </c>
      <c r="C112" s="57">
        <f t="shared" si="16"/>
        <v>1987</v>
      </c>
      <c r="D112" s="57" t="s">
        <v>317</v>
      </c>
      <c r="E112">
        <f t="shared" si="10"/>
        <v>47</v>
      </c>
      <c r="F112">
        <f t="shared" si="11"/>
        <v>1987.9166666666586</v>
      </c>
      <c r="G112" s="57">
        <f t="shared" si="12"/>
        <v>107</v>
      </c>
      <c r="H112" s="57">
        <f t="shared" si="17"/>
        <v>1987</v>
      </c>
      <c r="I112" s="57" t="s">
        <v>317</v>
      </c>
      <c r="K112">
        <f t="shared" si="15"/>
        <v>35</v>
      </c>
      <c r="L112">
        <f t="shared" si="15"/>
        <v>35</v>
      </c>
      <c r="M112">
        <f t="shared" si="13"/>
        <v>25547</v>
      </c>
    </row>
    <row r="113" spans="1:16" x14ac:dyDescent="0.4">
      <c r="A113">
        <f t="shared" si="19"/>
        <v>24</v>
      </c>
      <c r="B113" s="57">
        <f t="shared" si="19"/>
        <v>108</v>
      </c>
      <c r="C113" s="57">
        <f t="shared" si="16"/>
        <v>1987</v>
      </c>
      <c r="D113" s="57" t="s">
        <v>319</v>
      </c>
      <c r="E113">
        <f t="shared" si="10"/>
        <v>48</v>
      </c>
      <c r="F113">
        <f t="shared" si="11"/>
        <v>1987.9999999999918</v>
      </c>
      <c r="G113" s="57">
        <f t="shared" si="12"/>
        <v>108</v>
      </c>
      <c r="H113" s="57">
        <f t="shared" si="17"/>
        <v>1987</v>
      </c>
      <c r="I113" s="57" t="s">
        <v>319</v>
      </c>
      <c r="K113">
        <f t="shared" si="15"/>
        <v>36</v>
      </c>
      <c r="L113" s="42">
        <f t="shared" si="15"/>
        <v>36</v>
      </c>
      <c r="M113">
        <f t="shared" si="13"/>
        <v>25788</v>
      </c>
      <c r="P113">
        <f>P101+1</f>
        <v>9</v>
      </c>
    </row>
    <row r="114" spans="1:16" x14ac:dyDescent="0.4">
      <c r="A114">
        <f t="shared" si="19"/>
        <v>25</v>
      </c>
      <c r="B114" s="57">
        <f t="shared" si="19"/>
        <v>109</v>
      </c>
      <c r="C114" s="57">
        <f t="shared" si="16"/>
        <v>1988</v>
      </c>
      <c r="D114" s="57" t="s">
        <v>306</v>
      </c>
      <c r="E114">
        <f t="shared" si="10"/>
        <v>49</v>
      </c>
      <c r="F114">
        <f t="shared" si="11"/>
        <v>1988.0833333333251</v>
      </c>
      <c r="G114" s="57">
        <f t="shared" si="12"/>
        <v>109</v>
      </c>
      <c r="H114" s="57">
        <f t="shared" si="17"/>
        <v>1988</v>
      </c>
      <c r="I114" s="57" t="s">
        <v>306</v>
      </c>
      <c r="K114">
        <f t="shared" si="15"/>
        <v>37</v>
      </c>
      <c r="L114">
        <f t="shared" si="15"/>
        <v>37</v>
      </c>
      <c r="M114">
        <f t="shared" si="13"/>
        <v>26029</v>
      </c>
    </row>
    <row r="115" spans="1:16" x14ac:dyDescent="0.4">
      <c r="A115">
        <f t="shared" si="19"/>
        <v>26</v>
      </c>
      <c r="B115" s="57">
        <f t="shared" si="19"/>
        <v>110</v>
      </c>
      <c r="C115" s="57">
        <f t="shared" si="16"/>
        <v>1988</v>
      </c>
      <c r="D115" s="57" t="s">
        <v>307</v>
      </c>
      <c r="E115">
        <f t="shared" si="10"/>
        <v>50</v>
      </c>
      <c r="F115">
        <f t="shared" si="11"/>
        <v>1988.1666666666583</v>
      </c>
      <c r="G115" s="57">
        <f t="shared" si="12"/>
        <v>110</v>
      </c>
      <c r="H115" s="57">
        <f t="shared" si="17"/>
        <v>1988</v>
      </c>
      <c r="I115" s="57" t="s">
        <v>307</v>
      </c>
      <c r="K115">
        <f t="shared" si="15"/>
        <v>38</v>
      </c>
      <c r="L115">
        <f t="shared" si="15"/>
        <v>38</v>
      </c>
      <c r="M115">
        <f t="shared" si="13"/>
        <v>26270</v>
      </c>
    </row>
    <row r="116" spans="1:16" x14ac:dyDescent="0.4">
      <c r="A116">
        <f t="shared" si="19"/>
        <v>27</v>
      </c>
      <c r="B116" s="57">
        <f t="shared" si="19"/>
        <v>111</v>
      </c>
      <c r="C116" s="57">
        <f t="shared" si="16"/>
        <v>1988</v>
      </c>
      <c r="D116" s="57" t="s">
        <v>308</v>
      </c>
      <c r="E116">
        <f t="shared" si="10"/>
        <v>51</v>
      </c>
      <c r="F116">
        <f t="shared" si="11"/>
        <v>1988.2499999999916</v>
      </c>
      <c r="G116" s="57">
        <f t="shared" si="12"/>
        <v>111</v>
      </c>
      <c r="H116" s="57">
        <f t="shared" si="17"/>
        <v>1988</v>
      </c>
      <c r="I116" s="57" t="s">
        <v>308</v>
      </c>
      <c r="K116">
        <f t="shared" si="15"/>
        <v>39</v>
      </c>
      <c r="L116">
        <f t="shared" si="15"/>
        <v>39</v>
      </c>
      <c r="M116">
        <f t="shared" si="13"/>
        <v>26511</v>
      </c>
    </row>
    <row r="117" spans="1:16" x14ac:dyDescent="0.4">
      <c r="A117">
        <f t="shared" si="19"/>
        <v>28</v>
      </c>
      <c r="B117" s="57">
        <f t="shared" si="19"/>
        <v>112</v>
      </c>
      <c r="C117" s="57">
        <f t="shared" si="16"/>
        <v>1988</v>
      </c>
      <c r="D117" s="57" t="s">
        <v>309</v>
      </c>
      <c r="E117">
        <f t="shared" si="10"/>
        <v>52</v>
      </c>
      <c r="F117">
        <f t="shared" si="11"/>
        <v>1988.3333333333248</v>
      </c>
      <c r="G117" s="57">
        <f t="shared" si="12"/>
        <v>112</v>
      </c>
      <c r="H117" s="57">
        <f t="shared" si="17"/>
        <v>1988</v>
      </c>
      <c r="I117" s="57" t="s">
        <v>309</v>
      </c>
      <c r="K117">
        <f t="shared" si="15"/>
        <v>40</v>
      </c>
      <c r="L117">
        <f t="shared" si="15"/>
        <v>40</v>
      </c>
      <c r="M117">
        <f t="shared" si="13"/>
        <v>26752</v>
      </c>
    </row>
    <row r="118" spans="1:16" x14ac:dyDescent="0.4">
      <c r="A118">
        <f t="shared" si="19"/>
        <v>29</v>
      </c>
      <c r="B118" s="57">
        <f t="shared" si="19"/>
        <v>113</v>
      </c>
      <c r="C118" s="57">
        <f t="shared" si="16"/>
        <v>1988</v>
      </c>
      <c r="D118" s="57" t="s">
        <v>310</v>
      </c>
      <c r="E118">
        <f t="shared" si="10"/>
        <v>53</v>
      </c>
      <c r="F118">
        <f t="shared" si="11"/>
        <v>1988.4166666666581</v>
      </c>
      <c r="G118" s="57">
        <f t="shared" si="12"/>
        <v>113</v>
      </c>
      <c r="H118" s="57">
        <f t="shared" si="17"/>
        <v>1988</v>
      </c>
      <c r="I118" s="57" t="s">
        <v>310</v>
      </c>
      <c r="K118">
        <f t="shared" si="15"/>
        <v>41</v>
      </c>
      <c r="L118">
        <f t="shared" si="15"/>
        <v>41</v>
      </c>
      <c r="M118">
        <f t="shared" si="13"/>
        <v>26993</v>
      </c>
    </row>
    <row r="119" spans="1:16" x14ac:dyDescent="0.4">
      <c r="A119">
        <f t="shared" si="19"/>
        <v>30</v>
      </c>
      <c r="B119" s="57">
        <f t="shared" si="19"/>
        <v>114</v>
      </c>
      <c r="C119" s="57">
        <f t="shared" si="16"/>
        <v>1988</v>
      </c>
      <c r="D119" s="57" t="s">
        <v>311</v>
      </c>
      <c r="E119">
        <f t="shared" si="10"/>
        <v>54</v>
      </c>
      <c r="F119">
        <f t="shared" si="11"/>
        <v>1988.4999999999914</v>
      </c>
      <c r="G119" s="57">
        <f t="shared" si="12"/>
        <v>114</v>
      </c>
      <c r="H119" s="57">
        <f t="shared" si="17"/>
        <v>1988</v>
      </c>
      <c r="I119" s="57" t="s">
        <v>311</v>
      </c>
      <c r="K119">
        <f t="shared" si="15"/>
        <v>42</v>
      </c>
      <c r="L119">
        <f t="shared" si="15"/>
        <v>42</v>
      </c>
      <c r="M119">
        <f t="shared" si="13"/>
        <v>27234</v>
      </c>
    </row>
    <row r="120" spans="1:16" x14ac:dyDescent="0.4">
      <c r="A120">
        <f t="shared" si="19"/>
        <v>31</v>
      </c>
      <c r="B120" s="57">
        <f t="shared" si="19"/>
        <v>115</v>
      </c>
      <c r="C120" s="57">
        <f t="shared" si="16"/>
        <v>1988</v>
      </c>
      <c r="D120" s="57" t="s">
        <v>312</v>
      </c>
      <c r="E120">
        <f t="shared" si="10"/>
        <v>55</v>
      </c>
      <c r="F120">
        <f t="shared" si="11"/>
        <v>1988.5833333333246</v>
      </c>
      <c r="G120" s="57">
        <f t="shared" si="12"/>
        <v>115</v>
      </c>
      <c r="H120" s="57">
        <f t="shared" si="17"/>
        <v>1988</v>
      </c>
      <c r="I120" s="57" t="s">
        <v>312</v>
      </c>
      <c r="K120">
        <f t="shared" si="15"/>
        <v>43</v>
      </c>
      <c r="L120">
        <f t="shared" si="15"/>
        <v>43</v>
      </c>
      <c r="M120">
        <f t="shared" si="13"/>
        <v>27475</v>
      </c>
    </row>
    <row r="121" spans="1:16" x14ac:dyDescent="0.4">
      <c r="A121">
        <f t="shared" si="19"/>
        <v>32</v>
      </c>
      <c r="B121" s="57">
        <f t="shared" si="19"/>
        <v>116</v>
      </c>
      <c r="C121" s="57">
        <f t="shared" si="16"/>
        <v>1988</v>
      </c>
      <c r="D121" s="57" t="s">
        <v>313</v>
      </c>
      <c r="E121">
        <f t="shared" si="10"/>
        <v>56</v>
      </c>
      <c r="F121">
        <f t="shared" si="11"/>
        <v>1988.6666666666579</v>
      </c>
      <c r="G121" s="57">
        <f t="shared" si="12"/>
        <v>116</v>
      </c>
      <c r="H121" s="57">
        <f t="shared" si="17"/>
        <v>1988</v>
      </c>
      <c r="I121" s="57" t="s">
        <v>313</v>
      </c>
      <c r="K121">
        <f t="shared" si="15"/>
        <v>44</v>
      </c>
      <c r="L121">
        <f t="shared" si="15"/>
        <v>44</v>
      </c>
      <c r="M121">
        <f t="shared" si="13"/>
        <v>27716</v>
      </c>
    </row>
    <row r="122" spans="1:16" x14ac:dyDescent="0.4">
      <c r="A122">
        <f t="shared" si="19"/>
        <v>33</v>
      </c>
      <c r="B122" s="57">
        <f t="shared" si="19"/>
        <v>117</v>
      </c>
      <c r="C122" s="57">
        <f t="shared" si="16"/>
        <v>1988</v>
      </c>
      <c r="D122" s="57" t="s">
        <v>314</v>
      </c>
      <c r="E122">
        <f t="shared" si="10"/>
        <v>57</v>
      </c>
      <c r="F122">
        <f t="shared" si="11"/>
        <v>1988.7499999999911</v>
      </c>
      <c r="G122" s="57">
        <f t="shared" si="12"/>
        <v>117</v>
      </c>
      <c r="H122" s="57">
        <f t="shared" si="17"/>
        <v>1988</v>
      </c>
      <c r="I122" s="57" t="s">
        <v>314</v>
      </c>
      <c r="K122">
        <f t="shared" si="15"/>
        <v>45</v>
      </c>
      <c r="L122">
        <f t="shared" si="15"/>
        <v>45</v>
      </c>
      <c r="M122">
        <f t="shared" si="13"/>
        <v>27957</v>
      </c>
    </row>
    <row r="123" spans="1:16" x14ac:dyDescent="0.4">
      <c r="A123">
        <f t="shared" si="19"/>
        <v>34</v>
      </c>
      <c r="B123" s="57">
        <f t="shared" si="19"/>
        <v>118</v>
      </c>
      <c r="C123" s="57">
        <f t="shared" si="16"/>
        <v>1988</v>
      </c>
      <c r="D123" s="57" t="s">
        <v>316</v>
      </c>
      <c r="E123">
        <f t="shared" si="10"/>
        <v>58</v>
      </c>
      <c r="F123">
        <f t="shared" si="11"/>
        <v>1988.8333333333244</v>
      </c>
      <c r="G123" s="57">
        <f t="shared" si="12"/>
        <v>118</v>
      </c>
      <c r="H123" s="57">
        <f t="shared" si="17"/>
        <v>1988</v>
      </c>
      <c r="I123" s="57" t="s">
        <v>316</v>
      </c>
      <c r="K123">
        <f t="shared" si="15"/>
        <v>46</v>
      </c>
      <c r="L123">
        <f t="shared" si="15"/>
        <v>46</v>
      </c>
      <c r="M123">
        <f t="shared" si="13"/>
        <v>28198</v>
      </c>
    </row>
    <row r="124" spans="1:16" x14ac:dyDescent="0.4">
      <c r="A124">
        <f t="shared" ref="A124:B139" si="20">A123+1</f>
        <v>35</v>
      </c>
      <c r="B124" s="57">
        <f t="shared" si="20"/>
        <v>119</v>
      </c>
      <c r="C124" s="57">
        <f t="shared" si="16"/>
        <v>1988</v>
      </c>
      <c r="D124" s="57" t="s">
        <v>317</v>
      </c>
      <c r="E124">
        <f t="shared" si="10"/>
        <v>59</v>
      </c>
      <c r="F124">
        <f t="shared" si="11"/>
        <v>1988.9166666666576</v>
      </c>
      <c r="G124" s="57">
        <f t="shared" si="12"/>
        <v>119</v>
      </c>
      <c r="H124" s="57">
        <f t="shared" si="17"/>
        <v>1988</v>
      </c>
      <c r="I124" s="57" t="s">
        <v>317</v>
      </c>
      <c r="K124">
        <f t="shared" si="15"/>
        <v>47</v>
      </c>
      <c r="L124">
        <f t="shared" si="15"/>
        <v>47</v>
      </c>
      <c r="M124">
        <f t="shared" si="13"/>
        <v>28439</v>
      </c>
    </row>
    <row r="125" spans="1:16" x14ac:dyDescent="0.4">
      <c r="A125">
        <f t="shared" si="20"/>
        <v>36</v>
      </c>
      <c r="B125" s="89">
        <f t="shared" si="20"/>
        <v>120</v>
      </c>
      <c r="C125" s="89">
        <f t="shared" si="16"/>
        <v>1988</v>
      </c>
      <c r="D125" s="89" t="s">
        <v>319</v>
      </c>
      <c r="E125">
        <f t="shared" si="10"/>
        <v>60</v>
      </c>
      <c r="F125">
        <f t="shared" si="11"/>
        <v>1988.9999999999909</v>
      </c>
      <c r="G125" s="89">
        <f t="shared" si="12"/>
        <v>120</v>
      </c>
      <c r="H125" s="89">
        <f t="shared" si="17"/>
        <v>1988</v>
      </c>
      <c r="I125" s="89" t="s">
        <v>319</v>
      </c>
      <c r="K125">
        <f t="shared" si="15"/>
        <v>48</v>
      </c>
      <c r="L125" s="42">
        <f t="shared" si="15"/>
        <v>48</v>
      </c>
      <c r="M125">
        <f t="shared" si="13"/>
        <v>28680</v>
      </c>
      <c r="P125">
        <f>P113+1</f>
        <v>10</v>
      </c>
    </row>
    <row r="126" spans="1:16" x14ac:dyDescent="0.4">
      <c r="A126">
        <f t="shared" si="20"/>
        <v>37</v>
      </c>
      <c r="B126" s="57">
        <f t="shared" si="20"/>
        <v>121</v>
      </c>
      <c r="C126" s="57">
        <f t="shared" si="16"/>
        <v>1989</v>
      </c>
      <c r="D126" s="57" t="s">
        <v>306</v>
      </c>
      <c r="F126">
        <f t="shared" si="11"/>
        <v>1989.0833333333242</v>
      </c>
      <c r="G126" s="57">
        <f t="shared" si="12"/>
        <v>121</v>
      </c>
      <c r="H126" s="57">
        <f t="shared" si="17"/>
        <v>1989</v>
      </c>
      <c r="I126" s="57" t="s">
        <v>306</v>
      </c>
      <c r="K126">
        <f t="shared" si="15"/>
        <v>49</v>
      </c>
      <c r="L126">
        <f t="shared" si="15"/>
        <v>49</v>
      </c>
      <c r="M126">
        <f t="shared" si="13"/>
        <v>28921</v>
      </c>
    </row>
    <row r="127" spans="1:16" x14ac:dyDescent="0.4">
      <c r="A127">
        <f t="shared" si="20"/>
        <v>38</v>
      </c>
      <c r="B127" s="57">
        <f t="shared" si="20"/>
        <v>122</v>
      </c>
      <c r="C127" s="57">
        <f t="shared" si="16"/>
        <v>1989</v>
      </c>
      <c r="D127" s="57" t="s">
        <v>307</v>
      </c>
      <c r="F127">
        <f t="shared" si="11"/>
        <v>1989.1666666666574</v>
      </c>
      <c r="G127" s="57">
        <f t="shared" si="12"/>
        <v>122</v>
      </c>
      <c r="H127" s="57">
        <f t="shared" si="17"/>
        <v>1989</v>
      </c>
      <c r="I127" s="57" t="s">
        <v>307</v>
      </c>
      <c r="K127">
        <f t="shared" si="15"/>
        <v>50</v>
      </c>
      <c r="L127">
        <f t="shared" si="15"/>
        <v>50</v>
      </c>
      <c r="M127">
        <f t="shared" si="13"/>
        <v>29162</v>
      </c>
    </row>
    <row r="128" spans="1:16" x14ac:dyDescent="0.4">
      <c r="A128">
        <f t="shared" si="20"/>
        <v>39</v>
      </c>
      <c r="B128" s="57">
        <f t="shared" si="20"/>
        <v>123</v>
      </c>
      <c r="C128" s="57">
        <f t="shared" si="16"/>
        <v>1989</v>
      </c>
      <c r="D128" s="57" t="s">
        <v>308</v>
      </c>
      <c r="E128" s="6"/>
      <c r="F128">
        <f t="shared" si="11"/>
        <v>1989.2499999999907</v>
      </c>
      <c r="G128" s="57">
        <f t="shared" si="12"/>
        <v>123</v>
      </c>
      <c r="H128" s="57">
        <f t="shared" si="17"/>
        <v>1989</v>
      </c>
      <c r="I128" s="57" t="s">
        <v>308</v>
      </c>
      <c r="K128">
        <f t="shared" si="15"/>
        <v>51</v>
      </c>
      <c r="L128">
        <f t="shared" si="15"/>
        <v>51</v>
      </c>
      <c r="M128">
        <f t="shared" si="13"/>
        <v>29403</v>
      </c>
    </row>
    <row r="129" spans="1:17" x14ac:dyDescent="0.4">
      <c r="A129">
        <f t="shared" si="20"/>
        <v>40</v>
      </c>
      <c r="B129" s="57">
        <f t="shared" si="20"/>
        <v>124</v>
      </c>
      <c r="C129" s="57">
        <f t="shared" si="16"/>
        <v>1989</v>
      </c>
      <c r="D129" s="57" t="s">
        <v>309</v>
      </c>
      <c r="E129" s="6"/>
      <c r="F129">
        <f t="shared" si="11"/>
        <v>1989.3333333333239</v>
      </c>
      <c r="G129" s="57">
        <f t="shared" si="12"/>
        <v>124</v>
      </c>
      <c r="H129" s="57">
        <f t="shared" si="17"/>
        <v>1989</v>
      </c>
      <c r="I129" s="57" t="s">
        <v>309</v>
      </c>
      <c r="K129">
        <f t="shared" si="15"/>
        <v>52</v>
      </c>
      <c r="L129">
        <f t="shared" si="15"/>
        <v>52</v>
      </c>
      <c r="M129">
        <f t="shared" si="13"/>
        <v>29644</v>
      </c>
    </row>
    <row r="130" spans="1:17" x14ac:dyDescent="0.4">
      <c r="A130">
        <f t="shared" si="20"/>
        <v>41</v>
      </c>
      <c r="B130" s="57">
        <f t="shared" si="20"/>
        <v>125</v>
      </c>
      <c r="C130" s="57">
        <f t="shared" si="16"/>
        <v>1989</v>
      </c>
      <c r="D130" s="57" t="s">
        <v>310</v>
      </c>
      <c r="E130" s="6"/>
      <c r="F130">
        <f t="shared" si="11"/>
        <v>1989.4166666666572</v>
      </c>
      <c r="G130" s="57">
        <f t="shared" si="12"/>
        <v>125</v>
      </c>
      <c r="H130" s="57">
        <f t="shared" si="17"/>
        <v>1989</v>
      </c>
      <c r="I130" s="57" t="s">
        <v>310</v>
      </c>
      <c r="K130">
        <f t="shared" si="15"/>
        <v>53</v>
      </c>
      <c r="L130">
        <f t="shared" si="15"/>
        <v>53</v>
      </c>
      <c r="M130">
        <f t="shared" si="13"/>
        <v>29885</v>
      </c>
    </row>
    <row r="131" spans="1:17" x14ac:dyDescent="0.4">
      <c r="A131">
        <f t="shared" si="20"/>
        <v>42</v>
      </c>
      <c r="B131" s="57">
        <f t="shared" si="20"/>
        <v>126</v>
      </c>
      <c r="C131" s="57">
        <f t="shared" si="16"/>
        <v>1989</v>
      </c>
      <c r="D131" s="57" t="s">
        <v>311</v>
      </c>
      <c r="F131">
        <f t="shared" si="11"/>
        <v>1989.4999999999905</v>
      </c>
      <c r="G131" s="57">
        <f t="shared" si="12"/>
        <v>126</v>
      </c>
      <c r="H131" s="57">
        <f t="shared" si="17"/>
        <v>1989</v>
      </c>
      <c r="I131" s="57" t="s">
        <v>311</v>
      </c>
      <c r="K131">
        <f t="shared" si="15"/>
        <v>54</v>
      </c>
      <c r="L131">
        <f t="shared" si="15"/>
        <v>54</v>
      </c>
      <c r="M131">
        <f t="shared" si="13"/>
        <v>30126</v>
      </c>
    </row>
    <row r="132" spans="1:17" x14ac:dyDescent="0.4">
      <c r="A132">
        <f t="shared" si="20"/>
        <v>43</v>
      </c>
      <c r="B132" s="57">
        <f t="shared" si="20"/>
        <v>127</v>
      </c>
      <c r="C132" s="57">
        <f t="shared" si="16"/>
        <v>1989</v>
      </c>
      <c r="D132" s="57" t="s">
        <v>312</v>
      </c>
      <c r="F132">
        <f t="shared" si="11"/>
        <v>1989.5833333333237</v>
      </c>
      <c r="G132" s="57">
        <f t="shared" si="12"/>
        <v>127</v>
      </c>
      <c r="H132" s="57">
        <f t="shared" si="17"/>
        <v>1989</v>
      </c>
      <c r="I132" s="57" t="s">
        <v>312</v>
      </c>
      <c r="K132">
        <f t="shared" si="15"/>
        <v>55</v>
      </c>
      <c r="L132">
        <f t="shared" si="15"/>
        <v>55</v>
      </c>
      <c r="M132">
        <f t="shared" si="13"/>
        <v>30367</v>
      </c>
      <c r="O132" s="90">
        <f>G132</f>
        <v>127</v>
      </c>
    </row>
    <row r="133" spans="1:17" x14ac:dyDescent="0.4">
      <c r="A133">
        <f t="shared" si="20"/>
        <v>44</v>
      </c>
      <c r="B133" s="57">
        <f t="shared" si="20"/>
        <v>128</v>
      </c>
      <c r="C133" s="57">
        <f t="shared" si="16"/>
        <v>1989</v>
      </c>
      <c r="D133" s="57" t="s">
        <v>313</v>
      </c>
      <c r="F133">
        <f t="shared" si="11"/>
        <v>1989.666666666657</v>
      </c>
      <c r="G133" s="57">
        <f t="shared" si="12"/>
        <v>128</v>
      </c>
      <c r="H133" s="57">
        <f t="shared" si="17"/>
        <v>1989</v>
      </c>
      <c r="I133" s="57" t="s">
        <v>313</v>
      </c>
      <c r="K133">
        <f t="shared" si="15"/>
        <v>56</v>
      </c>
      <c r="L133">
        <f t="shared" si="15"/>
        <v>56</v>
      </c>
      <c r="M133">
        <f t="shared" si="13"/>
        <v>30608</v>
      </c>
    </row>
    <row r="134" spans="1:17" x14ac:dyDescent="0.4">
      <c r="A134">
        <f t="shared" si="20"/>
        <v>45</v>
      </c>
      <c r="B134" s="57">
        <f t="shared" si="20"/>
        <v>129</v>
      </c>
      <c r="C134" s="57">
        <f t="shared" si="16"/>
        <v>1989</v>
      </c>
      <c r="D134" s="57" t="s">
        <v>314</v>
      </c>
      <c r="F134">
        <f t="shared" si="11"/>
        <v>1989.7499999999902</v>
      </c>
      <c r="G134" s="57">
        <f t="shared" si="12"/>
        <v>129</v>
      </c>
      <c r="H134" s="57">
        <f t="shared" si="17"/>
        <v>1989</v>
      </c>
      <c r="I134" s="57" t="s">
        <v>314</v>
      </c>
      <c r="K134">
        <f t="shared" si="15"/>
        <v>57</v>
      </c>
      <c r="L134">
        <f t="shared" si="15"/>
        <v>57</v>
      </c>
      <c r="M134">
        <f t="shared" si="13"/>
        <v>30849</v>
      </c>
    </row>
    <row r="135" spans="1:17" x14ac:dyDescent="0.4">
      <c r="A135">
        <f t="shared" si="20"/>
        <v>46</v>
      </c>
      <c r="B135" s="57">
        <f t="shared" si="20"/>
        <v>130</v>
      </c>
      <c r="C135" s="57">
        <f t="shared" si="16"/>
        <v>1989</v>
      </c>
      <c r="D135" s="57" t="s">
        <v>316</v>
      </c>
      <c r="F135">
        <f t="shared" si="11"/>
        <v>1989.8333333333235</v>
      </c>
      <c r="G135" s="57">
        <f t="shared" si="12"/>
        <v>130</v>
      </c>
      <c r="H135" s="57">
        <f t="shared" si="17"/>
        <v>1989</v>
      </c>
      <c r="I135" s="57" t="s">
        <v>316</v>
      </c>
      <c r="K135">
        <f t="shared" si="15"/>
        <v>58</v>
      </c>
      <c r="L135">
        <f t="shared" si="15"/>
        <v>58</v>
      </c>
      <c r="M135">
        <f t="shared" si="13"/>
        <v>31090</v>
      </c>
    </row>
    <row r="136" spans="1:17" x14ac:dyDescent="0.4">
      <c r="A136">
        <f t="shared" si="20"/>
        <v>47</v>
      </c>
      <c r="B136" s="57">
        <f t="shared" si="20"/>
        <v>131</v>
      </c>
      <c r="C136" s="57">
        <f t="shared" si="16"/>
        <v>1989</v>
      </c>
      <c r="D136" s="57" t="s">
        <v>317</v>
      </c>
      <c r="F136">
        <f t="shared" ref="F136:F199" si="21">F135+1/12</f>
        <v>1989.9166666666567</v>
      </c>
      <c r="G136" s="57">
        <f t="shared" ref="G136:G199" si="22">G135+1</f>
        <v>131</v>
      </c>
      <c r="H136" s="57">
        <f t="shared" si="17"/>
        <v>1989</v>
      </c>
      <c r="I136" s="57" t="s">
        <v>317</v>
      </c>
      <c r="K136">
        <f t="shared" si="15"/>
        <v>59</v>
      </c>
      <c r="L136">
        <f t="shared" si="15"/>
        <v>59</v>
      </c>
      <c r="M136">
        <f t="shared" ref="M136:M199" si="23">M135+241</f>
        <v>31331</v>
      </c>
    </row>
    <row r="137" spans="1:17" x14ac:dyDescent="0.4">
      <c r="A137">
        <f t="shared" si="20"/>
        <v>48</v>
      </c>
      <c r="B137" s="89">
        <f t="shared" si="20"/>
        <v>132</v>
      </c>
      <c r="C137" s="89">
        <f t="shared" si="16"/>
        <v>1989</v>
      </c>
      <c r="D137" s="89" t="s">
        <v>319</v>
      </c>
      <c r="F137">
        <f t="shared" si="21"/>
        <v>1989.99999999999</v>
      </c>
      <c r="G137" s="91">
        <f t="shared" si="22"/>
        <v>132</v>
      </c>
      <c r="H137" s="91">
        <f t="shared" si="17"/>
        <v>1989</v>
      </c>
      <c r="I137" s="91" t="s">
        <v>319</v>
      </c>
      <c r="K137" s="42">
        <f t="shared" si="15"/>
        <v>60</v>
      </c>
      <c r="L137" s="42">
        <f t="shared" si="15"/>
        <v>60</v>
      </c>
      <c r="M137">
        <f t="shared" si="23"/>
        <v>31572</v>
      </c>
      <c r="O137" s="92"/>
      <c r="P137">
        <f>P125+1</f>
        <v>11</v>
      </c>
      <c r="Q137" s="42"/>
    </row>
    <row r="138" spans="1:17" x14ac:dyDescent="0.4">
      <c r="A138">
        <f t="shared" si="20"/>
        <v>49</v>
      </c>
      <c r="B138" s="94">
        <f t="shared" si="20"/>
        <v>133</v>
      </c>
      <c r="C138" s="94">
        <f t="shared" si="16"/>
        <v>1990</v>
      </c>
      <c r="D138" s="94" t="s">
        <v>306</v>
      </c>
      <c r="F138">
        <f t="shared" si="21"/>
        <v>1990.0833333333233</v>
      </c>
      <c r="G138" s="94">
        <f t="shared" si="22"/>
        <v>133</v>
      </c>
      <c r="H138" s="94">
        <f t="shared" si="17"/>
        <v>1990</v>
      </c>
      <c r="I138" s="94" t="s">
        <v>306</v>
      </c>
      <c r="K138">
        <v>1</v>
      </c>
      <c r="L138">
        <v>1</v>
      </c>
      <c r="M138">
        <f t="shared" si="23"/>
        <v>31813</v>
      </c>
    </row>
    <row r="139" spans="1:17" x14ac:dyDescent="0.4">
      <c r="A139">
        <f t="shared" si="20"/>
        <v>50</v>
      </c>
      <c r="B139" s="94">
        <f t="shared" si="20"/>
        <v>134</v>
      </c>
      <c r="C139" s="94">
        <f t="shared" si="16"/>
        <v>1990</v>
      </c>
      <c r="D139" s="94" t="s">
        <v>307</v>
      </c>
      <c r="F139">
        <f t="shared" si="21"/>
        <v>1990.1666666666565</v>
      </c>
      <c r="G139" s="94">
        <f t="shared" si="22"/>
        <v>134</v>
      </c>
      <c r="H139" s="94">
        <f t="shared" si="17"/>
        <v>1990</v>
      </c>
      <c r="I139" s="94" t="s">
        <v>307</v>
      </c>
      <c r="K139">
        <f>K138+1</f>
        <v>2</v>
      </c>
      <c r="L139">
        <f>L138+1</f>
        <v>2</v>
      </c>
      <c r="M139">
        <f t="shared" si="23"/>
        <v>32054</v>
      </c>
    </row>
    <row r="140" spans="1:17" x14ac:dyDescent="0.4">
      <c r="A140">
        <f t="shared" ref="A140:B155" si="24">A139+1</f>
        <v>51</v>
      </c>
      <c r="B140" s="94">
        <f t="shared" si="24"/>
        <v>135</v>
      </c>
      <c r="C140" s="94">
        <f t="shared" si="16"/>
        <v>1990</v>
      </c>
      <c r="D140" s="94" t="s">
        <v>308</v>
      </c>
      <c r="F140">
        <f t="shared" si="21"/>
        <v>1990.2499999999898</v>
      </c>
      <c r="G140" s="94">
        <f t="shared" si="22"/>
        <v>135</v>
      </c>
      <c r="H140" s="94">
        <f t="shared" si="17"/>
        <v>1990</v>
      </c>
      <c r="I140" s="94" t="s">
        <v>308</v>
      </c>
      <c r="K140">
        <f t="shared" ref="K140:L197" si="25">K139+1</f>
        <v>3</v>
      </c>
      <c r="L140">
        <f t="shared" si="25"/>
        <v>3</v>
      </c>
      <c r="M140">
        <f t="shared" si="23"/>
        <v>32295</v>
      </c>
    </row>
    <row r="141" spans="1:17" x14ac:dyDescent="0.4">
      <c r="A141">
        <f t="shared" si="24"/>
        <v>52</v>
      </c>
      <c r="B141" s="94">
        <f t="shared" si="24"/>
        <v>136</v>
      </c>
      <c r="C141" s="94">
        <f t="shared" si="16"/>
        <v>1990</v>
      </c>
      <c r="D141" s="94" t="s">
        <v>309</v>
      </c>
      <c r="F141">
        <f t="shared" si="21"/>
        <v>1990.333333333323</v>
      </c>
      <c r="G141" s="94">
        <f t="shared" si="22"/>
        <v>136</v>
      </c>
      <c r="H141" s="94">
        <f t="shared" si="17"/>
        <v>1990</v>
      </c>
      <c r="I141" s="94" t="s">
        <v>309</v>
      </c>
      <c r="K141">
        <f t="shared" si="25"/>
        <v>4</v>
      </c>
      <c r="L141">
        <f t="shared" si="25"/>
        <v>4</v>
      </c>
      <c r="M141">
        <f t="shared" si="23"/>
        <v>32536</v>
      </c>
    </row>
    <row r="142" spans="1:17" x14ac:dyDescent="0.4">
      <c r="A142">
        <f t="shared" si="24"/>
        <v>53</v>
      </c>
      <c r="B142" s="94">
        <f t="shared" si="24"/>
        <v>137</v>
      </c>
      <c r="C142" s="94">
        <f t="shared" si="16"/>
        <v>1990</v>
      </c>
      <c r="D142" s="94" t="s">
        <v>310</v>
      </c>
      <c r="F142">
        <f t="shared" si="21"/>
        <v>1990.4166666666563</v>
      </c>
      <c r="G142" s="94">
        <f t="shared" si="22"/>
        <v>137</v>
      </c>
      <c r="H142" s="94">
        <f t="shared" si="17"/>
        <v>1990</v>
      </c>
      <c r="I142" s="94" t="s">
        <v>310</v>
      </c>
      <c r="K142">
        <f t="shared" si="25"/>
        <v>5</v>
      </c>
      <c r="L142">
        <f t="shared" si="25"/>
        <v>5</v>
      </c>
      <c r="M142">
        <f t="shared" si="23"/>
        <v>32777</v>
      </c>
    </row>
    <row r="143" spans="1:17" x14ac:dyDescent="0.4">
      <c r="A143">
        <f t="shared" si="24"/>
        <v>54</v>
      </c>
      <c r="B143" s="94">
        <f t="shared" si="24"/>
        <v>138</v>
      </c>
      <c r="C143" s="94">
        <f t="shared" si="16"/>
        <v>1990</v>
      </c>
      <c r="D143" s="94" t="s">
        <v>311</v>
      </c>
      <c r="F143">
        <f t="shared" si="21"/>
        <v>1990.4999999999895</v>
      </c>
      <c r="G143" s="94">
        <f t="shared" si="22"/>
        <v>138</v>
      </c>
      <c r="H143" s="94">
        <f t="shared" si="17"/>
        <v>1990</v>
      </c>
      <c r="I143" s="94" t="s">
        <v>311</v>
      </c>
      <c r="K143">
        <f t="shared" si="25"/>
        <v>6</v>
      </c>
      <c r="L143">
        <f t="shared" si="25"/>
        <v>6</v>
      </c>
      <c r="M143">
        <f t="shared" si="23"/>
        <v>33018</v>
      </c>
    </row>
    <row r="144" spans="1:17" x14ac:dyDescent="0.4">
      <c r="A144">
        <f t="shared" si="24"/>
        <v>55</v>
      </c>
      <c r="B144" s="94">
        <f t="shared" si="24"/>
        <v>139</v>
      </c>
      <c r="C144" s="94">
        <f t="shared" si="16"/>
        <v>1990</v>
      </c>
      <c r="D144" s="94" t="s">
        <v>312</v>
      </c>
      <c r="F144">
        <f t="shared" si="21"/>
        <v>1990.5833333333228</v>
      </c>
      <c r="G144" s="94">
        <f t="shared" si="22"/>
        <v>139</v>
      </c>
      <c r="H144" s="94">
        <f t="shared" si="17"/>
        <v>1990</v>
      </c>
      <c r="I144" s="94" t="s">
        <v>312</v>
      </c>
      <c r="K144">
        <f t="shared" si="25"/>
        <v>7</v>
      </c>
      <c r="L144">
        <f t="shared" si="25"/>
        <v>7</v>
      </c>
      <c r="M144">
        <f t="shared" si="23"/>
        <v>33259</v>
      </c>
      <c r="O144" s="84">
        <f>G144</f>
        <v>139</v>
      </c>
    </row>
    <row r="145" spans="1:16" x14ac:dyDescent="0.4">
      <c r="A145">
        <f t="shared" si="24"/>
        <v>56</v>
      </c>
      <c r="B145" s="94">
        <f t="shared" si="24"/>
        <v>140</v>
      </c>
      <c r="C145" s="94">
        <f t="shared" si="16"/>
        <v>1990</v>
      </c>
      <c r="D145" s="94" t="s">
        <v>313</v>
      </c>
      <c r="F145">
        <f t="shared" si="21"/>
        <v>1990.6666666666561</v>
      </c>
      <c r="G145" s="94">
        <f t="shared" si="22"/>
        <v>140</v>
      </c>
      <c r="H145" s="94">
        <f t="shared" si="17"/>
        <v>1990</v>
      </c>
      <c r="I145" s="94" t="s">
        <v>313</v>
      </c>
      <c r="K145">
        <f t="shared" si="25"/>
        <v>8</v>
      </c>
      <c r="L145">
        <f t="shared" si="25"/>
        <v>8</v>
      </c>
      <c r="M145">
        <f t="shared" si="23"/>
        <v>33500</v>
      </c>
    </row>
    <row r="146" spans="1:16" x14ac:dyDescent="0.4">
      <c r="A146">
        <f t="shared" si="24"/>
        <v>57</v>
      </c>
      <c r="B146" s="94">
        <f t="shared" si="24"/>
        <v>141</v>
      </c>
      <c r="C146" s="94">
        <f t="shared" si="16"/>
        <v>1990</v>
      </c>
      <c r="D146" s="94" t="s">
        <v>314</v>
      </c>
      <c r="F146">
        <f t="shared" si="21"/>
        <v>1990.7499999999893</v>
      </c>
      <c r="G146" s="94">
        <f t="shared" si="22"/>
        <v>141</v>
      </c>
      <c r="H146" s="94">
        <f t="shared" si="17"/>
        <v>1990</v>
      </c>
      <c r="I146" s="94" t="s">
        <v>314</v>
      </c>
      <c r="K146">
        <f t="shared" si="25"/>
        <v>9</v>
      </c>
      <c r="L146">
        <f t="shared" si="25"/>
        <v>9</v>
      </c>
      <c r="M146">
        <f t="shared" si="23"/>
        <v>33741</v>
      </c>
    </row>
    <row r="147" spans="1:16" x14ac:dyDescent="0.4">
      <c r="A147">
        <f t="shared" si="24"/>
        <v>58</v>
      </c>
      <c r="B147" s="94">
        <f t="shared" si="24"/>
        <v>142</v>
      </c>
      <c r="C147" s="94">
        <f t="shared" ref="C147:C210" si="26">C135+1</f>
        <v>1990</v>
      </c>
      <c r="D147" s="94" t="s">
        <v>316</v>
      </c>
      <c r="F147">
        <f t="shared" si="21"/>
        <v>1990.8333333333226</v>
      </c>
      <c r="G147" s="94">
        <f t="shared" si="22"/>
        <v>142</v>
      </c>
      <c r="H147" s="94">
        <f t="shared" ref="H147:H210" si="27">H135+1</f>
        <v>1990</v>
      </c>
      <c r="I147" s="94" t="s">
        <v>316</v>
      </c>
      <c r="K147">
        <f t="shared" si="25"/>
        <v>10</v>
      </c>
      <c r="L147">
        <f t="shared" si="25"/>
        <v>10</v>
      </c>
      <c r="M147">
        <f t="shared" si="23"/>
        <v>33982</v>
      </c>
    </row>
    <row r="148" spans="1:16" x14ac:dyDescent="0.4">
      <c r="A148">
        <f t="shared" si="24"/>
        <v>59</v>
      </c>
      <c r="B148" s="94">
        <f t="shared" si="24"/>
        <v>143</v>
      </c>
      <c r="C148" s="94">
        <f t="shared" si="26"/>
        <v>1990</v>
      </c>
      <c r="D148" s="94" t="s">
        <v>317</v>
      </c>
      <c r="F148">
        <f t="shared" si="21"/>
        <v>1990.9166666666558</v>
      </c>
      <c r="G148" s="94">
        <f t="shared" si="22"/>
        <v>143</v>
      </c>
      <c r="H148" s="94">
        <f t="shared" si="27"/>
        <v>1990</v>
      </c>
      <c r="I148" s="94" t="s">
        <v>317</v>
      </c>
      <c r="K148">
        <f t="shared" si="25"/>
        <v>11</v>
      </c>
      <c r="L148">
        <f t="shared" si="25"/>
        <v>11</v>
      </c>
      <c r="M148">
        <f t="shared" si="23"/>
        <v>34223</v>
      </c>
    </row>
    <row r="149" spans="1:16" x14ac:dyDescent="0.4">
      <c r="A149">
        <f t="shared" si="24"/>
        <v>60</v>
      </c>
      <c r="B149" s="95">
        <f t="shared" si="24"/>
        <v>144</v>
      </c>
      <c r="C149" s="94">
        <f t="shared" si="26"/>
        <v>1990</v>
      </c>
      <c r="D149" s="94" t="s">
        <v>319</v>
      </c>
      <c r="F149">
        <f t="shared" si="21"/>
        <v>1990.9999999999891</v>
      </c>
      <c r="G149" s="95">
        <f t="shared" si="22"/>
        <v>144</v>
      </c>
      <c r="H149" s="94">
        <f t="shared" si="27"/>
        <v>1990</v>
      </c>
      <c r="I149" s="94" t="s">
        <v>319</v>
      </c>
      <c r="K149">
        <f t="shared" si="25"/>
        <v>12</v>
      </c>
      <c r="L149" s="42">
        <f t="shared" si="25"/>
        <v>12</v>
      </c>
      <c r="M149">
        <f t="shared" si="23"/>
        <v>34464</v>
      </c>
      <c r="P149">
        <v>1</v>
      </c>
    </row>
    <row r="150" spans="1:16" x14ac:dyDescent="0.4">
      <c r="A150">
        <v>1</v>
      </c>
      <c r="B150" s="93">
        <f t="shared" si="24"/>
        <v>145</v>
      </c>
      <c r="C150" s="57">
        <f t="shared" si="26"/>
        <v>1991</v>
      </c>
      <c r="D150" s="57" t="s">
        <v>306</v>
      </c>
      <c r="F150">
        <f t="shared" si="21"/>
        <v>1991.0833333333223</v>
      </c>
      <c r="G150" s="93">
        <f t="shared" si="22"/>
        <v>145</v>
      </c>
      <c r="H150" s="57">
        <f t="shared" si="27"/>
        <v>1991</v>
      </c>
      <c r="I150" s="57" t="s">
        <v>306</v>
      </c>
      <c r="K150">
        <f t="shared" si="25"/>
        <v>13</v>
      </c>
      <c r="L150">
        <f t="shared" si="25"/>
        <v>13</v>
      </c>
      <c r="M150">
        <f t="shared" si="23"/>
        <v>34705</v>
      </c>
    </row>
    <row r="151" spans="1:16" x14ac:dyDescent="0.4">
      <c r="A151">
        <f>A150+1</f>
        <v>2</v>
      </c>
      <c r="B151" s="57">
        <f t="shared" si="24"/>
        <v>146</v>
      </c>
      <c r="C151" s="57">
        <f t="shared" si="26"/>
        <v>1991</v>
      </c>
      <c r="D151" s="57" t="s">
        <v>307</v>
      </c>
      <c r="F151">
        <f t="shared" si="21"/>
        <v>1991.1666666666556</v>
      </c>
      <c r="G151" s="57">
        <f t="shared" si="22"/>
        <v>146</v>
      </c>
      <c r="H151" s="57">
        <f t="shared" si="27"/>
        <v>1991</v>
      </c>
      <c r="I151" s="57" t="s">
        <v>307</v>
      </c>
      <c r="K151">
        <f t="shared" si="25"/>
        <v>14</v>
      </c>
      <c r="L151">
        <f t="shared" si="25"/>
        <v>14</v>
      </c>
      <c r="M151">
        <f t="shared" si="23"/>
        <v>34946</v>
      </c>
    </row>
    <row r="152" spans="1:16" x14ac:dyDescent="0.4">
      <c r="A152">
        <f t="shared" ref="A152:B167" si="28">A151+1</f>
        <v>3</v>
      </c>
      <c r="B152" s="57">
        <f t="shared" si="24"/>
        <v>147</v>
      </c>
      <c r="C152" s="57">
        <f t="shared" si="26"/>
        <v>1991</v>
      </c>
      <c r="D152" s="57" t="s">
        <v>308</v>
      </c>
      <c r="F152">
        <f t="shared" si="21"/>
        <v>1991.2499999999889</v>
      </c>
      <c r="G152" s="57">
        <f t="shared" si="22"/>
        <v>147</v>
      </c>
      <c r="H152" s="57">
        <f t="shared" si="27"/>
        <v>1991</v>
      </c>
      <c r="I152" s="57" t="s">
        <v>308</v>
      </c>
      <c r="K152">
        <f t="shared" si="25"/>
        <v>15</v>
      </c>
      <c r="L152">
        <f t="shared" si="25"/>
        <v>15</v>
      </c>
      <c r="M152">
        <f t="shared" si="23"/>
        <v>35187</v>
      </c>
    </row>
    <row r="153" spans="1:16" x14ac:dyDescent="0.4">
      <c r="A153">
        <f t="shared" si="28"/>
        <v>4</v>
      </c>
      <c r="B153" s="57">
        <f t="shared" si="24"/>
        <v>148</v>
      </c>
      <c r="C153" s="57">
        <f t="shared" si="26"/>
        <v>1991</v>
      </c>
      <c r="D153" s="57" t="s">
        <v>309</v>
      </c>
      <c r="F153">
        <f t="shared" si="21"/>
        <v>1991.3333333333221</v>
      </c>
      <c r="G153" s="57">
        <f t="shared" si="22"/>
        <v>148</v>
      </c>
      <c r="H153" s="57">
        <f t="shared" si="27"/>
        <v>1991</v>
      </c>
      <c r="I153" s="57" t="s">
        <v>309</v>
      </c>
      <c r="K153">
        <f t="shared" si="25"/>
        <v>16</v>
      </c>
      <c r="L153">
        <f t="shared" si="25"/>
        <v>16</v>
      </c>
      <c r="M153">
        <f t="shared" si="23"/>
        <v>35428</v>
      </c>
    </row>
    <row r="154" spans="1:16" x14ac:dyDescent="0.4">
      <c r="A154">
        <f t="shared" si="28"/>
        <v>5</v>
      </c>
      <c r="B154" s="57">
        <f t="shared" si="24"/>
        <v>149</v>
      </c>
      <c r="C154" s="6">
        <f t="shared" si="26"/>
        <v>1991</v>
      </c>
      <c r="D154" s="6" t="s">
        <v>310</v>
      </c>
      <c r="E154" t="s">
        <v>322</v>
      </c>
      <c r="F154">
        <f t="shared" si="21"/>
        <v>1991.4166666666554</v>
      </c>
      <c r="G154" s="57">
        <f t="shared" si="22"/>
        <v>149</v>
      </c>
      <c r="H154" s="6">
        <f t="shared" si="27"/>
        <v>1991</v>
      </c>
      <c r="I154" s="6" t="s">
        <v>310</v>
      </c>
      <c r="K154">
        <f t="shared" si="25"/>
        <v>17</v>
      </c>
      <c r="L154">
        <f t="shared" si="25"/>
        <v>17</v>
      </c>
      <c r="M154">
        <f t="shared" si="23"/>
        <v>35669</v>
      </c>
    </row>
    <row r="155" spans="1:16" x14ac:dyDescent="0.4">
      <c r="A155">
        <f t="shared" si="28"/>
        <v>6</v>
      </c>
      <c r="B155" s="57">
        <f t="shared" si="24"/>
        <v>150</v>
      </c>
      <c r="C155" s="6">
        <f t="shared" si="26"/>
        <v>1991</v>
      </c>
      <c r="D155" s="6" t="s">
        <v>311</v>
      </c>
      <c r="F155">
        <f t="shared" si="21"/>
        <v>1991.4999999999886</v>
      </c>
      <c r="G155" s="57">
        <f t="shared" si="22"/>
        <v>150</v>
      </c>
      <c r="H155" s="6">
        <f t="shared" si="27"/>
        <v>1991</v>
      </c>
      <c r="I155" s="6" t="s">
        <v>311</v>
      </c>
      <c r="K155">
        <f t="shared" si="25"/>
        <v>18</v>
      </c>
      <c r="L155">
        <f t="shared" si="25"/>
        <v>18</v>
      </c>
      <c r="M155">
        <f t="shared" si="23"/>
        <v>35910</v>
      </c>
    </row>
    <row r="156" spans="1:16" x14ac:dyDescent="0.4">
      <c r="A156">
        <f t="shared" si="28"/>
        <v>7</v>
      </c>
      <c r="B156" s="57">
        <f t="shared" si="28"/>
        <v>151</v>
      </c>
      <c r="C156" s="6">
        <f t="shared" si="26"/>
        <v>1991</v>
      </c>
      <c r="D156" s="6" t="s">
        <v>312</v>
      </c>
      <c r="F156">
        <f t="shared" si="21"/>
        <v>1991.5833333333219</v>
      </c>
      <c r="G156" s="57">
        <f t="shared" si="22"/>
        <v>151</v>
      </c>
      <c r="H156" s="6">
        <f t="shared" si="27"/>
        <v>1991</v>
      </c>
      <c r="I156" s="6" t="s">
        <v>312</v>
      </c>
      <c r="K156">
        <f t="shared" si="25"/>
        <v>19</v>
      </c>
      <c r="L156">
        <f t="shared" si="25"/>
        <v>19</v>
      </c>
      <c r="M156">
        <f t="shared" si="23"/>
        <v>36151</v>
      </c>
    </row>
    <row r="157" spans="1:16" x14ac:dyDescent="0.4">
      <c r="A157">
        <f t="shared" si="28"/>
        <v>8</v>
      </c>
      <c r="B157" s="57">
        <f t="shared" si="28"/>
        <v>152</v>
      </c>
      <c r="C157" s="57">
        <f t="shared" si="26"/>
        <v>1991</v>
      </c>
      <c r="D157" s="57" t="s">
        <v>313</v>
      </c>
      <c r="F157">
        <f t="shared" si="21"/>
        <v>1991.6666666666551</v>
      </c>
      <c r="G157" s="57">
        <f t="shared" si="22"/>
        <v>152</v>
      </c>
      <c r="H157" s="57">
        <f t="shared" si="27"/>
        <v>1991</v>
      </c>
      <c r="I157" s="57" t="s">
        <v>313</v>
      </c>
      <c r="K157">
        <f t="shared" si="25"/>
        <v>20</v>
      </c>
      <c r="L157">
        <f t="shared" si="25"/>
        <v>20</v>
      </c>
      <c r="M157">
        <f t="shared" si="23"/>
        <v>36392</v>
      </c>
    </row>
    <row r="158" spans="1:16" x14ac:dyDescent="0.4">
      <c r="A158">
        <f t="shared" si="28"/>
        <v>9</v>
      </c>
      <c r="B158" s="57">
        <f t="shared" si="28"/>
        <v>153</v>
      </c>
      <c r="C158" s="57">
        <f t="shared" si="26"/>
        <v>1991</v>
      </c>
      <c r="D158" s="57" t="s">
        <v>314</v>
      </c>
      <c r="F158">
        <f t="shared" si="21"/>
        <v>1991.7499999999884</v>
      </c>
      <c r="G158" s="57">
        <f t="shared" si="22"/>
        <v>153</v>
      </c>
      <c r="H158" s="57">
        <f t="shared" si="27"/>
        <v>1991</v>
      </c>
      <c r="I158" s="57" t="s">
        <v>314</v>
      </c>
      <c r="K158">
        <f t="shared" si="25"/>
        <v>21</v>
      </c>
      <c r="L158">
        <f t="shared" si="25"/>
        <v>21</v>
      </c>
      <c r="M158">
        <f t="shared" si="23"/>
        <v>36633</v>
      </c>
    </row>
    <row r="159" spans="1:16" x14ac:dyDescent="0.4">
      <c r="A159">
        <f t="shared" si="28"/>
        <v>10</v>
      </c>
      <c r="B159" s="57">
        <f t="shared" si="28"/>
        <v>154</v>
      </c>
      <c r="C159" s="57">
        <f t="shared" si="26"/>
        <v>1991</v>
      </c>
      <c r="D159" s="57" t="s">
        <v>316</v>
      </c>
      <c r="F159">
        <f t="shared" si="21"/>
        <v>1991.8333333333217</v>
      </c>
      <c r="G159" s="57">
        <f t="shared" si="22"/>
        <v>154</v>
      </c>
      <c r="H159" s="57">
        <f t="shared" si="27"/>
        <v>1991</v>
      </c>
      <c r="I159" s="57" t="s">
        <v>316</v>
      </c>
      <c r="K159">
        <f t="shared" si="25"/>
        <v>22</v>
      </c>
      <c r="L159">
        <f t="shared" si="25"/>
        <v>22</v>
      </c>
      <c r="M159">
        <f t="shared" si="23"/>
        <v>36874</v>
      </c>
    </row>
    <row r="160" spans="1:16" x14ac:dyDescent="0.4">
      <c r="A160">
        <f t="shared" si="28"/>
        <v>11</v>
      </c>
      <c r="B160" s="57">
        <f t="shared" si="28"/>
        <v>155</v>
      </c>
      <c r="C160" s="57">
        <f t="shared" si="26"/>
        <v>1991</v>
      </c>
      <c r="D160" s="57" t="s">
        <v>317</v>
      </c>
      <c r="F160">
        <f t="shared" si="21"/>
        <v>1991.9166666666549</v>
      </c>
      <c r="G160" s="57">
        <f t="shared" si="22"/>
        <v>155</v>
      </c>
      <c r="H160" s="57">
        <f t="shared" si="27"/>
        <v>1991</v>
      </c>
      <c r="I160" s="57" t="s">
        <v>317</v>
      </c>
      <c r="K160">
        <f t="shared" si="25"/>
        <v>23</v>
      </c>
      <c r="L160">
        <f t="shared" si="25"/>
        <v>23</v>
      </c>
      <c r="M160">
        <f t="shared" si="23"/>
        <v>37115</v>
      </c>
    </row>
    <row r="161" spans="1:16" x14ac:dyDescent="0.4">
      <c r="A161">
        <f t="shared" si="28"/>
        <v>12</v>
      </c>
      <c r="B161" s="57">
        <f t="shared" si="28"/>
        <v>156</v>
      </c>
      <c r="C161" s="57">
        <f t="shared" si="26"/>
        <v>1991</v>
      </c>
      <c r="D161" s="57" t="s">
        <v>319</v>
      </c>
      <c r="E161" s="6" t="s">
        <v>323</v>
      </c>
      <c r="F161">
        <f t="shared" si="21"/>
        <v>1991.9999999999882</v>
      </c>
      <c r="G161" s="57">
        <f t="shared" si="22"/>
        <v>156</v>
      </c>
      <c r="H161" s="57">
        <f t="shared" si="27"/>
        <v>1991</v>
      </c>
      <c r="I161" s="57" t="s">
        <v>319</v>
      </c>
      <c r="K161">
        <f t="shared" si="25"/>
        <v>24</v>
      </c>
      <c r="L161" s="42">
        <f t="shared" si="25"/>
        <v>24</v>
      </c>
      <c r="M161">
        <f t="shared" si="23"/>
        <v>37356</v>
      </c>
      <c r="P161">
        <f>P149+1</f>
        <v>2</v>
      </c>
    </row>
    <row r="162" spans="1:16" x14ac:dyDescent="0.4">
      <c r="A162">
        <f t="shared" si="28"/>
        <v>13</v>
      </c>
      <c r="B162" s="57">
        <f t="shared" si="28"/>
        <v>157</v>
      </c>
      <c r="C162" s="57">
        <f t="shared" si="26"/>
        <v>1992</v>
      </c>
      <c r="D162" s="57" t="s">
        <v>306</v>
      </c>
      <c r="E162" s="6"/>
      <c r="F162">
        <f t="shared" si="21"/>
        <v>1992.0833333333214</v>
      </c>
      <c r="G162" s="57">
        <f t="shared" si="22"/>
        <v>157</v>
      </c>
      <c r="H162" s="57">
        <f t="shared" si="27"/>
        <v>1992</v>
      </c>
      <c r="I162" s="57" t="s">
        <v>306</v>
      </c>
      <c r="K162">
        <f t="shared" si="25"/>
        <v>25</v>
      </c>
      <c r="L162">
        <f t="shared" si="25"/>
        <v>25</v>
      </c>
      <c r="M162">
        <f t="shared" si="23"/>
        <v>37597</v>
      </c>
    </row>
    <row r="163" spans="1:16" x14ac:dyDescent="0.4">
      <c r="A163">
        <f t="shared" si="28"/>
        <v>14</v>
      </c>
      <c r="B163" s="57">
        <f t="shared" si="28"/>
        <v>158</v>
      </c>
      <c r="C163" s="57">
        <f t="shared" si="26"/>
        <v>1992</v>
      </c>
      <c r="D163" s="57" t="s">
        <v>307</v>
      </c>
      <c r="E163" s="6"/>
      <c r="F163">
        <f t="shared" si="21"/>
        <v>1992.1666666666547</v>
      </c>
      <c r="G163" s="57">
        <f t="shared" si="22"/>
        <v>158</v>
      </c>
      <c r="H163" s="57">
        <f t="shared" si="27"/>
        <v>1992</v>
      </c>
      <c r="I163" s="57" t="s">
        <v>307</v>
      </c>
      <c r="K163">
        <f t="shared" si="25"/>
        <v>26</v>
      </c>
      <c r="L163">
        <f t="shared" si="25"/>
        <v>26</v>
      </c>
      <c r="M163">
        <f t="shared" si="23"/>
        <v>37838</v>
      </c>
    </row>
    <row r="164" spans="1:16" x14ac:dyDescent="0.4">
      <c r="A164">
        <f t="shared" si="28"/>
        <v>15</v>
      </c>
      <c r="B164" s="57">
        <f t="shared" si="28"/>
        <v>159</v>
      </c>
      <c r="C164" s="57">
        <f t="shared" si="26"/>
        <v>1992</v>
      </c>
      <c r="D164" s="57" t="s">
        <v>308</v>
      </c>
      <c r="F164">
        <f t="shared" si="21"/>
        <v>1992.2499999999879</v>
      </c>
      <c r="G164" s="57">
        <f t="shared" si="22"/>
        <v>159</v>
      </c>
      <c r="H164" s="57">
        <f t="shared" si="27"/>
        <v>1992</v>
      </c>
      <c r="I164" s="57" t="s">
        <v>308</v>
      </c>
      <c r="K164">
        <f t="shared" si="25"/>
        <v>27</v>
      </c>
      <c r="L164">
        <f t="shared" si="25"/>
        <v>27</v>
      </c>
      <c r="M164">
        <f t="shared" si="23"/>
        <v>38079</v>
      </c>
    </row>
    <row r="165" spans="1:16" x14ac:dyDescent="0.4">
      <c r="A165">
        <f t="shared" si="28"/>
        <v>16</v>
      </c>
      <c r="B165" s="57">
        <f t="shared" si="28"/>
        <v>160</v>
      </c>
      <c r="C165" s="57">
        <f t="shared" si="26"/>
        <v>1992</v>
      </c>
      <c r="D165" s="57" t="s">
        <v>309</v>
      </c>
      <c r="F165">
        <f t="shared" si="21"/>
        <v>1992.3333333333212</v>
      </c>
      <c r="G165" s="57">
        <f t="shared" si="22"/>
        <v>160</v>
      </c>
      <c r="H165" s="57">
        <f t="shared" si="27"/>
        <v>1992</v>
      </c>
      <c r="I165" s="57" t="s">
        <v>309</v>
      </c>
      <c r="K165">
        <f t="shared" si="25"/>
        <v>28</v>
      </c>
      <c r="L165">
        <f t="shared" si="25"/>
        <v>28</v>
      </c>
      <c r="M165">
        <f t="shared" si="23"/>
        <v>38320</v>
      </c>
    </row>
    <row r="166" spans="1:16" x14ac:dyDescent="0.4">
      <c r="A166">
        <f t="shared" si="28"/>
        <v>17</v>
      </c>
      <c r="B166" s="57">
        <f t="shared" si="28"/>
        <v>161</v>
      </c>
      <c r="C166" s="57">
        <f t="shared" si="26"/>
        <v>1992</v>
      </c>
      <c r="D166" s="57" t="s">
        <v>310</v>
      </c>
      <c r="F166">
        <f t="shared" si="21"/>
        <v>1992.4166666666545</v>
      </c>
      <c r="G166" s="57">
        <f t="shared" si="22"/>
        <v>161</v>
      </c>
      <c r="H166" s="57">
        <f t="shared" si="27"/>
        <v>1992</v>
      </c>
      <c r="I166" s="57" t="s">
        <v>310</v>
      </c>
      <c r="K166">
        <f t="shared" si="25"/>
        <v>29</v>
      </c>
      <c r="L166">
        <f t="shared" si="25"/>
        <v>29</v>
      </c>
      <c r="M166">
        <f t="shared" si="23"/>
        <v>38561</v>
      </c>
    </row>
    <row r="167" spans="1:16" x14ac:dyDescent="0.4">
      <c r="A167">
        <f t="shared" si="28"/>
        <v>18</v>
      </c>
      <c r="B167" s="57">
        <f t="shared" si="28"/>
        <v>162</v>
      </c>
      <c r="C167" s="57">
        <f t="shared" si="26"/>
        <v>1992</v>
      </c>
      <c r="D167" s="57" t="s">
        <v>311</v>
      </c>
      <c r="F167">
        <f t="shared" si="21"/>
        <v>1992.4999999999877</v>
      </c>
      <c r="G167" s="57">
        <f t="shared" si="22"/>
        <v>162</v>
      </c>
      <c r="H167" s="57">
        <f t="shared" si="27"/>
        <v>1992</v>
      </c>
      <c r="I167" s="57" t="s">
        <v>311</v>
      </c>
      <c r="K167">
        <f t="shared" si="25"/>
        <v>30</v>
      </c>
      <c r="L167">
        <f t="shared" si="25"/>
        <v>30</v>
      </c>
      <c r="M167">
        <f t="shared" si="23"/>
        <v>38802</v>
      </c>
    </row>
    <row r="168" spans="1:16" x14ac:dyDescent="0.4">
      <c r="A168">
        <f t="shared" ref="A168:B183" si="29">A167+1</f>
        <v>19</v>
      </c>
      <c r="B168" s="57">
        <f t="shared" si="29"/>
        <v>163</v>
      </c>
      <c r="C168" s="57">
        <f t="shared" si="26"/>
        <v>1992</v>
      </c>
      <c r="D168" s="57" t="s">
        <v>312</v>
      </c>
      <c r="F168">
        <f t="shared" si="21"/>
        <v>1992.583333333321</v>
      </c>
      <c r="G168" s="57">
        <f t="shared" si="22"/>
        <v>163</v>
      </c>
      <c r="H168" s="57">
        <f t="shared" si="27"/>
        <v>1992</v>
      </c>
      <c r="I168" s="57" t="s">
        <v>312</v>
      </c>
      <c r="K168">
        <f t="shared" si="25"/>
        <v>31</v>
      </c>
      <c r="L168">
        <f t="shared" si="25"/>
        <v>31</v>
      </c>
      <c r="M168">
        <f t="shared" si="23"/>
        <v>39043</v>
      </c>
    </row>
    <row r="169" spans="1:16" x14ac:dyDescent="0.4">
      <c r="A169">
        <f t="shared" si="29"/>
        <v>20</v>
      </c>
      <c r="B169" s="57">
        <f t="shared" si="29"/>
        <v>164</v>
      </c>
      <c r="C169" s="57">
        <f t="shared" si="26"/>
        <v>1992</v>
      </c>
      <c r="D169" s="57" t="s">
        <v>313</v>
      </c>
      <c r="F169">
        <f t="shared" si="21"/>
        <v>1992.6666666666542</v>
      </c>
      <c r="G169" s="57">
        <f t="shared" si="22"/>
        <v>164</v>
      </c>
      <c r="H169" s="57">
        <f t="shared" si="27"/>
        <v>1992</v>
      </c>
      <c r="I169" s="57" t="s">
        <v>313</v>
      </c>
      <c r="K169">
        <f t="shared" si="25"/>
        <v>32</v>
      </c>
      <c r="L169">
        <f t="shared" si="25"/>
        <v>32</v>
      </c>
      <c r="M169">
        <f t="shared" si="23"/>
        <v>39284</v>
      </c>
    </row>
    <row r="170" spans="1:16" x14ac:dyDescent="0.4">
      <c r="A170">
        <f t="shared" si="29"/>
        <v>21</v>
      </c>
      <c r="B170" s="57">
        <f t="shared" si="29"/>
        <v>165</v>
      </c>
      <c r="C170" s="57">
        <f t="shared" si="26"/>
        <v>1992</v>
      </c>
      <c r="D170" s="57" t="s">
        <v>314</v>
      </c>
      <c r="F170">
        <f t="shared" si="21"/>
        <v>1992.7499999999875</v>
      </c>
      <c r="G170" s="57">
        <f t="shared" si="22"/>
        <v>165</v>
      </c>
      <c r="H170" s="57">
        <f t="shared" si="27"/>
        <v>1992</v>
      </c>
      <c r="I170" s="57" t="s">
        <v>314</v>
      </c>
      <c r="K170">
        <f t="shared" si="25"/>
        <v>33</v>
      </c>
      <c r="L170">
        <f t="shared" si="25"/>
        <v>33</v>
      </c>
      <c r="M170">
        <f t="shared" si="23"/>
        <v>39525</v>
      </c>
    </row>
    <row r="171" spans="1:16" x14ac:dyDescent="0.4">
      <c r="A171">
        <f t="shared" si="29"/>
        <v>22</v>
      </c>
      <c r="B171" s="57">
        <f t="shared" si="29"/>
        <v>166</v>
      </c>
      <c r="C171" s="57">
        <f t="shared" si="26"/>
        <v>1992</v>
      </c>
      <c r="D171" s="57" t="s">
        <v>316</v>
      </c>
      <c r="F171">
        <f t="shared" si="21"/>
        <v>1992.8333333333208</v>
      </c>
      <c r="G171" s="57">
        <f t="shared" si="22"/>
        <v>166</v>
      </c>
      <c r="H171" s="57">
        <f t="shared" si="27"/>
        <v>1992</v>
      </c>
      <c r="I171" s="57" t="s">
        <v>316</v>
      </c>
      <c r="K171">
        <f t="shared" si="25"/>
        <v>34</v>
      </c>
      <c r="L171">
        <f t="shared" si="25"/>
        <v>34</v>
      </c>
      <c r="M171">
        <f t="shared" si="23"/>
        <v>39766</v>
      </c>
    </row>
    <row r="172" spans="1:16" x14ac:dyDescent="0.4">
      <c r="A172">
        <f t="shared" si="29"/>
        <v>23</v>
      </c>
      <c r="B172" s="57">
        <f t="shared" si="29"/>
        <v>167</v>
      </c>
      <c r="C172" s="57">
        <f t="shared" si="26"/>
        <v>1992</v>
      </c>
      <c r="D172" s="57" t="s">
        <v>317</v>
      </c>
      <c r="F172">
        <f t="shared" si="21"/>
        <v>1992.916666666654</v>
      </c>
      <c r="G172" s="57">
        <f t="shared" si="22"/>
        <v>167</v>
      </c>
      <c r="H172" s="57">
        <f t="shared" si="27"/>
        <v>1992</v>
      </c>
      <c r="I172" s="57" t="s">
        <v>317</v>
      </c>
      <c r="K172">
        <f t="shared" si="25"/>
        <v>35</v>
      </c>
      <c r="L172">
        <f t="shared" si="25"/>
        <v>35</v>
      </c>
      <c r="M172">
        <f t="shared" si="23"/>
        <v>40007</v>
      </c>
    </row>
    <row r="173" spans="1:16" x14ac:dyDescent="0.4">
      <c r="A173">
        <f t="shared" si="29"/>
        <v>24</v>
      </c>
      <c r="B173" s="57">
        <f t="shared" si="29"/>
        <v>168</v>
      </c>
      <c r="C173" s="57">
        <f t="shared" si="26"/>
        <v>1992</v>
      </c>
      <c r="D173" s="57" t="s">
        <v>319</v>
      </c>
      <c r="F173">
        <f t="shared" si="21"/>
        <v>1992.9999999999873</v>
      </c>
      <c r="G173" s="57">
        <f t="shared" si="22"/>
        <v>168</v>
      </c>
      <c r="H173" s="57">
        <f t="shared" si="27"/>
        <v>1992</v>
      </c>
      <c r="I173" s="57" t="s">
        <v>319</v>
      </c>
      <c r="K173">
        <f t="shared" si="25"/>
        <v>36</v>
      </c>
      <c r="L173" s="42">
        <f t="shared" si="25"/>
        <v>36</v>
      </c>
      <c r="M173">
        <f t="shared" si="23"/>
        <v>40248</v>
      </c>
      <c r="P173">
        <f>P161+1</f>
        <v>3</v>
      </c>
    </row>
    <row r="174" spans="1:16" x14ac:dyDescent="0.4">
      <c r="A174">
        <f t="shared" si="29"/>
        <v>25</v>
      </c>
      <c r="B174" s="57">
        <f t="shared" si="29"/>
        <v>169</v>
      </c>
      <c r="C174" s="57">
        <f t="shared" si="26"/>
        <v>1993</v>
      </c>
      <c r="D174" s="57" t="s">
        <v>306</v>
      </c>
      <c r="F174">
        <f t="shared" si="21"/>
        <v>1993.0833333333205</v>
      </c>
      <c r="G174" s="57">
        <f t="shared" si="22"/>
        <v>169</v>
      </c>
      <c r="H174" s="57">
        <f t="shared" si="27"/>
        <v>1993</v>
      </c>
      <c r="I174" s="57" t="s">
        <v>306</v>
      </c>
      <c r="K174">
        <f t="shared" si="25"/>
        <v>37</v>
      </c>
      <c r="L174">
        <f t="shared" si="25"/>
        <v>37</v>
      </c>
      <c r="M174">
        <f t="shared" si="23"/>
        <v>40489</v>
      </c>
    </row>
    <row r="175" spans="1:16" x14ac:dyDescent="0.4">
      <c r="A175">
        <f t="shared" si="29"/>
        <v>26</v>
      </c>
      <c r="B175" s="57">
        <f t="shared" si="29"/>
        <v>170</v>
      </c>
      <c r="C175" s="57">
        <f t="shared" si="26"/>
        <v>1993</v>
      </c>
      <c r="D175" s="57" t="s">
        <v>307</v>
      </c>
      <c r="F175">
        <f t="shared" si="21"/>
        <v>1993.1666666666538</v>
      </c>
      <c r="G175" s="57">
        <f t="shared" si="22"/>
        <v>170</v>
      </c>
      <c r="H175" s="57">
        <f t="shared" si="27"/>
        <v>1993</v>
      </c>
      <c r="I175" s="57" t="s">
        <v>307</v>
      </c>
      <c r="K175">
        <f t="shared" si="25"/>
        <v>38</v>
      </c>
      <c r="L175">
        <f t="shared" si="25"/>
        <v>38</v>
      </c>
      <c r="M175">
        <f t="shared" si="23"/>
        <v>40730</v>
      </c>
    </row>
    <row r="176" spans="1:16" x14ac:dyDescent="0.4">
      <c r="A176">
        <f t="shared" si="29"/>
        <v>27</v>
      </c>
      <c r="B176" s="57">
        <f t="shared" si="29"/>
        <v>171</v>
      </c>
      <c r="C176" s="57">
        <f t="shared" si="26"/>
        <v>1993</v>
      </c>
      <c r="D176" s="57" t="s">
        <v>308</v>
      </c>
      <c r="F176">
        <f t="shared" si="21"/>
        <v>1993.249999999987</v>
      </c>
      <c r="G176" s="57">
        <f t="shared" si="22"/>
        <v>171</v>
      </c>
      <c r="H176" s="57">
        <f t="shared" si="27"/>
        <v>1993</v>
      </c>
      <c r="I176" s="57" t="s">
        <v>308</v>
      </c>
      <c r="K176">
        <f t="shared" si="25"/>
        <v>39</v>
      </c>
      <c r="L176">
        <f t="shared" si="25"/>
        <v>39</v>
      </c>
      <c r="M176">
        <f t="shared" si="23"/>
        <v>40971</v>
      </c>
    </row>
    <row r="177" spans="1:16" x14ac:dyDescent="0.4">
      <c r="A177">
        <f t="shared" si="29"/>
        <v>28</v>
      </c>
      <c r="B177" s="57">
        <f t="shared" si="29"/>
        <v>172</v>
      </c>
      <c r="C177" s="57">
        <f t="shared" si="26"/>
        <v>1993</v>
      </c>
      <c r="D177" s="57" t="s">
        <v>309</v>
      </c>
      <c r="F177">
        <f t="shared" si="21"/>
        <v>1993.3333333333203</v>
      </c>
      <c r="G177" s="57">
        <f t="shared" si="22"/>
        <v>172</v>
      </c>
      <c r="H177" s="57">
        <f t="shared" si="27"/>
        <v>1993</v>
      </c>
      <c r="I177" s="57" t="s">
        <v>309</v>
      </c>
      <c r="K177">
        <f t="shared" si="25"/>
        <v>40</v>
      </c>
      <c r="L177">
        <f t="shared" si="25"/>
        <v>40</v>
      </c>
      <c r="M177">
        <f t="shared" si="23"/>
        <v>41212</v>
      </c>
    </row>
    <row r="178" spans="1:16" x14ac:dyDescent="0.4">
      <c r="A178">
        <f t="shared" si="29"/>
        <v>29</v>
      </c>
      <c r="B178" s="57">
        <f t="shared" si="29"/>
        <v>173</v>
      </c>
      <c r="C178" s="57">
        <f t="shared" si="26"/>
        <v>1993</v>
      </c>
      <c r="D178" s="57" t="s">
        <v>310</v>
      </c>
      <c r="F178">
        <f t="shared" si="21"/>
        <v>1993.4166666666536</v>
      </c>
      <c r="G178" s="57">
        <f t="shared" si="22"/>
        <v>173</v>
      </c>
      <c r="H178" s="57">
        <f t="shared" si="27"/>
        <v>1993</v>
      </c>
      <c r="I178" s="57" t="s">
        <v>310</v>
      </c>
      <c r="K178">
        <f t="shared" si="25"/>
        <v>41</v>
      </c>
      <c r="L178">
        <f t="shared" si="25"/>
        <v>41</v>
      </c>
      <c r="M178">
        <f t="shared" si="23"/>
        <v>41453</v>
      </c>
    </row>
    <row r="179" spans="1:16" x14ac:dyDescent="0.4">
      <c r="A179">
        <f t="shared" si="29"/>
        <v>30</v>
      </c>
      <c r="B179" s="57">
        <f t="shared" si="29"/>
        <v>174</v>
      </c>
      <c r="C179" s="57">
        <f t="shared" si="26"/>
        <v>1993</v>
      </c>
      <c r="D179" s="57" t="s">
        <v>311</v>
      </c>
      <c r="F179">
        <f t="shared" si="21"/>
        <v>1993.4999999999868</v>
      </c>
      <c r="G179" s="57">
        <f t="shared" si="22"/>
        <v>174</v>
      </c>
      <c r="H179" s="57">
        <f t="shared" si="27"/>
        <v>1993</v>
      </c>
      <c r="I179" s="57" t="s">
        <v>311</v>
      </c>
      <c r="K179">
        <f t="shared" si="25"/>
        <v>42</v>
      </c>
      <c r="L179">
        <f t="shared" si="25"/>
        <v>42</v>
      </c>
      <c r="M179">
        <f t="shared" si="23"/>
        <v>41694</v>
      </c>
    </row>
    <row r="180" spans="1:16" x14ac:dyDescent="0.4">
      <c r="A180">
        <f t="shared" si="29"/>
        <v>31</v>
      </c>
      <c r="B180" s="57">
        <f t="shared" si="29"/>
        <v>175</v>
      </c>
      <c r="C180" s="57">
        <f t="shared" si="26"/>
        <v>1993</v>
      </c>
      <c r="D180" s="57" t="s">
        <v>312</v>
      </c>
      <c r="F180">
        <f t="shared" si="21"/>
        <v>1993.5833333333201</v>
      </c>
      <c r="G180" s="57">
        <f t="shared" si="22"/>
        <v>175</v>
      </c>
      <c r="H180" s="57">
        <f t="shared" si="27"/>
        <v>1993</v>
      </c>
      <c r="I180" s="57" t="s">
        <v>312</v>
      </c>
      <c r="K180">
        <f t="shared" si="25"/>
        <v>43</v>
      </c>
      <c r="L180">
        <f t="shared" si="25"/>
        <v>43</v>
      </c>
      <c r="M180">
        <f t="shared" si="23"/>
        <v>41935</v>
      </c>
    </row>
    <row r="181" spans="1:16" x14ac:dyDescent="0.4">
      <c r="A181">
        <f t="shared" si="29"/>
        <v>32</v>
      </c>
      <c r="B181" s="57">
        <f t="shared" si="29"/>
        <v>176</v>
      </c>
      <c r="C181" s="57">
        <f t="shared" si="26"/>
        <v>1993</v>
      </c>
      <c r="D181" s="57" t="s">
        <v>313</v>
      </c>
      <c r="F181">
        <f t="shared" si="21"/>
        <v>1993.6666666666533</v>
      </c>
      <c r="G181" s="57">
        <f t="shared" si="22"/>
        <v>176</v>
      </c>
      <c r="H181" s="57">
        <f t="shared" si="27"/>
        <v>1993</v>
      </c>
      <c r="I181" s="57" t="s">
        <v>313</v>
      </c>
      <c r="K181">
        <f t="shared" si="25"/>
        <v>44</v>
      </c>
      <c r="L181">
        <f t="shared" si="25"/>
        <v>44</v>
      </c>
      <c r="M181">
        <f t="shared" si="23"/>
        <v>42176</v>
      </c>
    </row>
    <row r="182" spans="1:16" x14ac:dyDescent="0.4">
      <c r="A182">
        <f t="shared" si="29"/>
        <v>33</v>
      </c>
      <c r="B182" s="57">
        <f t="shared" si="29"/>
        <v>177</v>
      </c>
      <c r="C182" s="57">
        <f t="shared" si="26"/>
        <v>1993</v>
      </c>
      <c r="D182" s="57" t="s">
        <v>314</v>
      </c>
      <c r="F182">
        <f t="shared" si="21"/>
        <v>1993.7499999999866</v>
      </c>
      <c r="G182" s="57">
        <f t="shared" si="22"/>
        <v>177</v>
      </c>
      <c r="H182" s="57">
        <f t="shared" si="27"/>
        <v>1993</v>
      </c>
      <c r="I182" s="57" t="s">
        <v>314</v>
      </c>
      <c r="K182">
        <f t="shared" si="25"/>
        <v>45</v>
      </c>
      <c r="L182">
        <f t="shared" si="25"/>
        <v>45</v>
      </c>
      <c r="M182">
        <f t="shared" si="23"/>
        <v>42417</v>
      </c>
    </row>
    <row r="183" spans="1:16" x14ac:dyDescent="0.4">
      <c r="A183">
        <f t="shared" si="29"/>
        <v>34</v>
      </c>
      <c r="B183" s="57">
        <f t="shared" si="29"/>
        <v>178</v>
      </c>
      <c r="C183" s="57">
        <f t="shared" si="26"/>
        <v>1993</v>
      </c>
      <c r="D183" s="57" t="s">
        <v>316</v>
      </c>
      <c r="F183">
        <f t="shared" si="21"/>
        <v>1993.8333333333198</v>
      </c>
      <c r="G183" s="57">
        <f t="shared" si="22"/>
        <v>178</v>
      </c>
      <c r="H183" s="57">
        <f t="shared" si="27"/>
        <v>1993</v>
      </c>
      <c r="I183" s="57" t="s">
        <v>316</v>
      </c>
      <c r="K183">
        <f t="shared" si="25"/>
        <v>46</v>
      </c>
      <c r="L183">
        <f t="shared" si="25"/>
        <v>46</v>
      </c>
      <c r="M183">
        <f t="shared" si="23"/>
        <v>42658</v>
      </c>
    </row>
    <row r="184" spans="1:16" x14ac:dyDescent="0.4">
      <c r="A184">
        <f t="shared" ref="A184:B199" si="30">A183+1</f>
        <v>35</v>
      </c>
      <c r="B184" s="57">
        <f t="shared" si="30"/>
        <v>179</v>
      </c>
      <c r="C184" s="57">
        <f t="shared" si="26"/>
        <v>1993</v>
      </c>
      <c r="D184" s="57" t="s">
        <v>317</v>
      </c>
      <c r="F184">
        <f t="shared" si="21"/>
        <v>1993.9166666666531</v>
      </c>
      <c r="G184" s="57">
        <f t="shared" si="22"/>
        <v>179</v>
      </c>
      <c r="H184" s="57">
        <f t="shared" si="27"/>
        <v>1993</v>
      </c>
      <c r="I184" s="57" t="s">
        <v>317</v>
      </c>
      <c r="K184">
        <f t="shared" si="25"/>
        <v>47</v>
      </c>
      <c r="L184">
        <f t="shared" si="25"/>
        <v>47</v>
      </c>
      <c r="M184">
        <f t="shared" si="23"/>
        <v>42899</v>
      </c>
    </row>
    <row r="185" spans="1:16" x14ac:dyDescent="0.4">
      <c r="A185">
        <f t="shared" si="30"/>
        <v>36</v>
      </c>
      <c r="B185" s="57">
        <f t="shared" si="30"/>
        <v>180</v>
      </c>
      <c r="C185" s="57">
        <f t="shared" si="26"/>
        <v>1993</v>
      </c>
      <c r="D185" s="57" t="s">
        <v>319</v>
      </c>
      <c r="F185">
        <f t="shared" si="21"/>
        <v>1993.9999999999864</v>
      </c>
      <c r="G185" s="57">
        <f t="shared" si="22"/>
        <v>180</v>
      </c>
      <c r="H185" s="57">
        <f t="shared" si="27"/>
        <v>1993</v>
      </c>
      <c r="I185" s="57" t="s">
        <v>319</v>
      </c>
      <c r="K185">
        <f t="shared" si="25"/>
        <v>48</v>
      </c>
      <c r="L185" s="42">
        <f t="shared" si="25"/>
        <v>48</v>
      </c>
      <c r="M185">
        <f t="shared" si="23"/>
        <v>43140</v>
      </c>
      <c r="P185">
        <f>P173+1</f>
        <v>4</v>
      </c>
    </row>
    <row r="186" spans="1:16" x14ac:dyDescent="0.4">
      <c r="A186">
        <f t="shared" si="30"/>
        <v>37</v>
      </c>
      <c r="B186" s="57">
        <f t="shared" si="30"/>
        <v>181</v>
      </c>
      <c r="C186" s="57">
        <f t="shared" si="26"/>
        <v>1994</v>
      </c>
      <c r="D186" s="57" t="s">
        <v>306</v>
      </c>
      <c r="F186">
        <f t="shared" si="21"/>
        <v>1994.0833333333196</v>
      </c>
      <c r="G186" s="57">
        <f t="shared" si="22"/>
        <v>181</v>
      </c>
      <c r="H186" s="57">
        <f t="shared" si="27"/>
        <v>1994</v>
      </c>
      <c r="I186" s="57" t="s">
        <v>306</v>
      </c>
      <c r="K186">
        <f t="shared" si="25"/>
        <v>49</v>
      </c>
      <c r="L186">
        <f t="shared" si="25"/>
        <v>49</v>
      </c>
      <c r="M186">
        <f t="shared" si="23"/>
        <v>43381</v>
      </c>
    </row>
    <row r="187" spans="1:16" x14ac:dyDescent="0.4">
      <c r="A187">
        <f t="shared" si="30"/>
        <v>38</v>
      </c>
      <c r="B187" s="57">
        <f t="shared" si="30"/>
        <v>182</v>
      </c>
      <c r="C187" s="57">
        <f t="shared" si="26"/>
        <v>1994</v>
      </c>
      <c r="D187" s="57" t="s">
        <v>307</v>
      </c>
      <c r="F187">
        <f t="shared" si="21"/>
        <v>1994.1666666666529</v>
      </c>
      <c r="G187" s="57">
        <f t="shared" si="22"/>
        <v>182</v>
      </c>
      <c r="H187" s="57">
        <f t="shared" si="27"/>
        <v>1994</v>
      </c>
      <c r="I187" s="57" t="s">
        <v>307</v>
      </c>
      <c r="K187">
        <f t="shared" si="25"/>
        <v>50</v>
      </c>
      <c r="L187">
        <f t="shared" si="25"/>
        <v>50</v>
      </c>
      <c r="M187">
        <f t="shared" si="23"/>
        <v>43622</v>
      </c>
    </row>
    <row r="188" spans="1:16" x14ac:dyDescent="0.4">
      <c r="A188">
        <f t="shared" si="30"/>
        <v>39</v>
      </c>
      <c r="B188" s="57">
        <f t="shared" si="30"/>
        <v>183</v>
      </c>
      <c r="C188" s="57">
        <f t="shared" si="26"/>
        <v>1994</v>
      </c>
      <c r="D188" s="57" t="s">
        <v>308</v>
      </c>
      <c r="F188">
        <f t="shared" si="21"/>
        <v>1994.2499999999861</v>
      </c>
      <c r="G188" s="57">
        <f t="shared" si="22"/>
        <v>183</v>
      </c>
      <c r="H188" s="57">
        <f t="shared" si="27"/>
        <v>1994</v>
      </c>
      <c r="I188" s="57" t="s">
        <v>308</v>
      </c>
      <c r="K188">
        <f t="shared" si="25"/>
        <v>51</v>
      </c>
      <c r="L188">
        <f t="shared" si="25"/>
        <v>51</v>
      </c>
      <c r="M188">
        <f t="shared" si="23"/>
        <v>43863</v>
      </c>
    </row>
    <row r="189" spans="1:16" x14ac:dyDescent="0.4">
      <c r="A189">
        <f t="shared" si="30"/>
        <v>40</v>
      </c>
      <c r="B189" s="57">
        <f t="shared" si="30"/>
        <v>184</v>
      </c>
      <c r="C189" s="57">
        <f t="shared" si="26"/>
        <v>1994</v>
      </c>
      <c r="D189" s="57" t="s">
        <v>309</v>
      </c>
      <c r="F189">
        <f t="shared" si="21"/>
        <v>1994.3333333333194</v>
      </c>
      <c r="G189" s="57">
        <f t="shared" si="22"/>
        <v>184</v>
      </c>
      <c r="H189" s="57">
        <f t="shared" si="27"/>
        <v>1994</v>
      </c>
      <c r="I189" s="57" t="s">
        <v>309</v>
      </c>
      <c r="K189">
        <f t="shared" si="25"/>
        <v>52</v>
      </c>
      <c r="L189">
        <f t="shared" si="25"/>
        <v>52</v>
      </c>
      <c r="M189">
        <f t="shared" si="23"/>
        <v>44104</v>
      </c>
    </row>
    <row r="190" spans="1:16" x14ac:dyDescent="0.4">
      <c r="A190">
        <f t="shared" si="30"/>
        <v>41</v>
      </c>
      <c r="B190" s="57">
        <f t="shared" si="30"/>
        <v>185</v>
      </c>
      <c r="C190" s="57">
        <f t="shared" si="26"/>
        <v>1994</v>
      </c>
      <c r="D190" s="57" t="s">
        <v>310</v>
      </c>
      <c r="F190">
        <f t="shared" si="21"/>
        <v>1994.4166666666526</v>
      </c>
      <c r="G190" s="57">
        <f t="shared" si="22"/>
        <v>185</v>
      </c>
      <c r="H190" s="57">
        <f t="shared" si="27"/>
        <v>1994</v>
      </c>
      <c r="I190" s="57" t="s">
        <v>310</v>
      </c>
      <c r="K190">
        <f t="shared" si="25"/>
        <v>53</v>
      </c>
      <c r="L190">
        <f t="shared" si="25"/>
        <v>53</v>
      </c>
      <c r="M190">
        <f t="shared" si="23"/>
        <v>44345</v>
      </c>
    </row>
    <row r="191" spans="1:16" x14ac:dyDescent="0.4">
      <c r="A191">
        <f t="shared" si="30"/>
        <v>42</v>
      </c>
      <c r="B191" s="57">
        <f t="shared" si="30"/>
        <v>186</v>
      </c>
      <c r="C191" s="57">
        <f t="shared" si="26"/>
        <v>1994</v>
      </c>
      <c r="D191" s="57" t="s">
        <v>311</v>
      </c>
      <c r="F191">
        <f t="shared" si="21"/>
        <v>1994.4999999999859</v>
      </c>
      <c r="G191" s="57">
        <f t="shared" si="22"/>
        <v>186</v>
      </c>
      <c r="H191" s="57">
        <f t="shared" si="27"/>
        <v>1994</v>
      </c>
      <c r="I191" s="57" t="s">
        <v>311</v>
      </c>
      <c r="K191">
        <f t="shared" si="25"/>
        <v>54</v>
      </c>
      <c r="L191">
        <f t="shared" si="25"/>
        <v>54</v>
      </c>
      <c r="M191">
        <f t="shared" si="23"/>
        <v>44586</v>
      </c>
    </row>
    <row r="192" spans="1:16" x14ac:dyDescent="0.4">
      <c r="A192">
        <f t="shared" si="30"/>
        <v>43</v>
      </c>
      <c r="B192" s="57">
        <f t="shared" si="30"/>
        <v>187</v>
      </c>
      <c r="C192" s="57">
        <f t="shared" si="26"/>
        <v>1994</v>
      </c>
      <c r="D192" s="57" t="s">
        <v>312</v>
      </c>
      <c r="F192">
        <f t="shared" si="21"/>
        <v>1994.5833333333192</v>
      </c>
      <c r="G192" s="57">
        <f t="shared" si="22"/>
        <v>187</v>
      </c>
      <c r="H192" s="57">
        <f t="shared" si="27"/>
        <v>1994</v>
      </c>
      <c r="I192" s="57" t="s">
        <v>312</v>
      </c>
      <c r="K192">
        <f t="shared" si="25"/>
        <v>55</v>
      </c>
      <c r="L192">
        <f t="shared" si="25"/>
        <v>55</v>
      </c>
      <c r="M192">
        <f t="shared" si="23"/>
        <v>44827</v>
      </c>
      <c r="O192" s="90">
        <f>G192</f>
        <v>187</v>
      </c>
    </row>
    <row r="193" spans="1:17" x14ac:dyDescent="0.4">
      <c r="A193">
        <f t="shared" si="30"/>
        <v>44</v>
      </c>
      <c r="B193" s="57">
        <f t="shared" si="30"/>
        <v>188</v>
      </c>
      <c r="C193" s="57">
        <f t="shared" si="26"/>
        <v>1994</v>
      </c>
      <c r="D193" s="57" t="s">
        <v>313</v>
      </c>
      <c r="F193">
        <f t="shared" si="21"/>
        <v>1994.6666666666524</v>
      </c>
      <c r="G193" s="57">
        <f t="shared" si="22"/>
        <v>188</v>
      </c>
      <c r="H193" s="57">
        <f t="shared" si="27"/>
        <v>1994</v>
      </c>
      <c r="I193" s="57" t="s">
        <v>313</v>
      </c>
      <c r="K193">
        <f t="shared" si="25"/>
        <v>56</v>
      </c>
      <c r="L193">
        <f t="shared" si="25"/>
        <v>56</v>
      </c>
      <c r="M193">
        <f t="shared" si="23"/>
        <v>45068</v>
      </c>
    </row>
    <row r="194" spans="1:17" x14ac:dyDescent="0.4">
      <c r="A194">
        <f t="shared" si="30"/>
        <v>45</v>
      </c>
      <c r="B194" s="57">
        <f t="shared" si="30"/>
        <v>189</v>
      </c>
      <c r="C194" s="57">
        <f t="shared" si="26"/>
        <v>1994</v>
      </c>
      <c r="D194" s="57" t="s">
        <v>314</v>
      </c>
      <c r="F194">
        <f t="shared" si="21"/>
        <v>1994.7499999999857</v>
      </c>
      <c r="G194" s="57">
        <f t="shared" si="22"/>
        <v>189</v>
      </c>
      <c r="H194" s="57">
        <f t="shared" si="27"/>
        <v>1994</v>
      </c>
      <c r="I194" s="57" t="s">
        <v>314</v>
      </c>
      <c r="K194">
        <f t="shared" si="25"/>
        <v>57</v>
      </c>
      <c r="L194">
        <f t="shared" si="25"/>
        <v>57</v>
      </c>
      <c r="M194">
        <f t="shared" si="23"/>
        <v>45309</v>
      </c>
    </row>
    <row r="195" spans="1:17" x14ac:dyDescent="0.4">
      <c r="A195">
        <f t="shared" si="30"/>
        <v>46</v>
      </c>
      <c r="B195" s="57">
        <f t="shared" si="30"/>
        <v>190</v>
      </c>
      <c r="C195" s="57">
        <f t="shared" si="26"/>
        <v>1994</v>
      </c>
      <c r="D195" s="57" t="s">
        <v>316</v>
      </c>
      <c r="F195">
        <f t="shared" si="21"/>
        <v>1994.8333333333189</v>
      </c>
      <c r="G195" s="57">
        <f t="shared" si="22"/>
        <v>190</v>
      </c>
      <c r="H195" s="57">
        <f t="shared" si="27"/>
        <v>1994</v>
      </c>
      <c r="I195" s="57" t="s">
        <v>316</v>
      </c>
      <c r="K195">
        <f t="shared" si="25"/>
        <v>58</v>
      </c>
      <c r="L195">
        <f t="shared" si="25"/>
        <v>58</v>
      </c>
      <c r="M195">
        <f t="shared" si="23"/>
        <v>45550</v>
      </c>
    </row>
    <row r="196" spans="1:17" x14ac:dyDescent="0.4">
      <c r="A196">
        <f t="shared" si="30"/>
        <v>47</v>
      </c>
      <c r="B196" s="57">
        <f t="shared" si="30"/>
        <v>191</v>
      </c>
      <c r="C196" s="57">
        <f t="shared" si="26"/>
        <v>1994</v>
      </c>
      <c r="D196" s="57" t="s">
        <v>317</v>
      </c>
      <c r="F196">
        <f t="shared" si="21"/>
        <v>1994.9166666666522</v>
      </c>
      <c r="G196" s="57">
        <f t="shared" si="22"/>
        <v>191</v>
      </c>
      <c r="H196" s="57">
        <f t="shared" si="27"/>
        <v>1994</v>
      </c>
      <c r="I196" s="57" t="s">
        <v>317</v>
      </c>
      <c r="K196">
        <f t="shared" si="25"/>
        <v>59</v>
      </c>
      <c r="L196">
        <f t="shared" si="25"/>
        <v>59</v>
      </c>
      <c r="M196">
        <f t="shared" si="23"/>
        <v>45791</v>
      </c>
    </row>
    <row r="197" spans="1:17" x14ac:dyDescent="0.4">
      <c r="A197">
        <f t="shared" si="30"/>
        <v>48</v>
      </c>
      <c r="B197" s="96">
        <f t="shared" si="30"/>
        <v>192</v>
      </c>
      <c r="C197" s="96">
        <f t="shared" si="26"/>
        <v>1994</v>
      </c>
      <c r="D197" s="96" t="s">
        <v>319</v>
      </c>
      <c r="F197">
        <f t="shared" si="21"/>
        <v>1994.9999999999854</v>
      </c>
      <c r="G197" s="91">
        <f t="shared" si="22"/>
        <v>192</v>
      </c>
      <c r="H197" s="91">
        <f t="shared" si="27"/>
        <v>1994</v>
      </c>
      <c r="I197" s="91" t="s">
        <v>319</v>
      </c>
      <c r="K197" s="42">
        <f t="shared" si="25"/>
        <v>60</v>
      </c>
      <c r="L197" s="42">
        <f t="shared" si="25"/>
        <v>60</v>
      </c>
      <c r="M197">
        <f t="shared" si="23"/>
        <v>46032</v>
      </c>
      <c r="O197" s="92"/>
      <c r="P197">
        <f>P185+1</f>
        <v>5</v>
      </c>
      <c r="Q197" s="42"/>
    </row>
    <row r="198" spans="1:17" x14ac:dyDescent="0.4">
      <c r="A198">
        <f t="shared" si="30"/>
        <v>49</v>
      </c>
      <c r="B198" s="41">
        <f t="shared" si="30"/>
        <v>193</v>
      </c>
      <c r="C198" s="41">
        <f t="shared" si="26"/>
        <v>1995</v>
      </c>
      <c r="D198" s="41" t="s">
        <v>306</v>
      </c>
      <c r="F198">
        <f t="shared" si="21"/>
        <v>1995.0833333333187</v>
      </c>
      <c r="G198" s="41">
        <f t="shared" si="22"/>
        <v>193</v>
      </c>
      <c r="H198" s="41">
        <f t="shared" si="27"/>
        <v>1995</v>
      </c>
      <c r="I198" s="41" t="s">
        <v>306</v>
      </c>
      <c r="K198">
        <v>1</v>
      </c>
      <c r="L198">
        <v>1</v>
      </c>
      <c r="M198">
        <f t="shared" si="23"/>
        <v>46273</v>
      </c>
    </row>
    <row r="199" spans="1:17" x14ac:dyDescent="0.4">
      <c r="A199">
        <f t="shared" si="30"/>
        <v>50</v>
      </c>
      <c r="B199" s="41">
        <f t="shared" si="30"/>
        <v>194</v>
      </c>
      <c r="C199" s="41">
        <f t="shared" si="26"/>
        <v>1995</v>
      </c>
      <c r="D199" s="41" t="s">
        <v>307</v>
      </c>
      <c r="F199">
        <f t="shared" si="21"/>
        <v>1995.166666666652</v>
      </c>
      <c r="G199" s="41">
        <f t="shared" si="22"/>
        <v>194</v>
      </c>
      <c r="H199" s="41">
        <f t="shared" si="27"/>
        <v>1995</v>
      </c>
      <c r="I199" s="41" t="s">
        <v>307</v>
      </c>
      <c r="K199">
        <f>K198+1</f>
        <v>2</v>
      </c>
      <c r="L199">
        <f>L198+1</f>
        <v>2</v>
      </c>
      <c r="M199">
        <f t="shared" si="23"/>
        <v>46514</v>
      </c>
    </row>
    <row r="200" spans="1:17" x14ac:dyDescent="0.4">
      <c r="A200">
        <f t="shared" ref="A200:B215" si="31">A199+1</f>
        <v>51</v>
      </c>
      <c r="B200" s="41">
        <f t="shared" si="31"/>
        <v>195</v>
      </c>
      <c r="C200" s="41">
        <f t="shared" si="26"/>
        <v>1995</v>
      </c>
      <c r="D200" s="41" t="s">
        <v>308</v>
      </c>
      <c r="F200">
        <f t="shared" ref="F200:F263" si="32">F199+1/12</f>
        <v>1995.2499999999852</v>
      </c>
      <c r="G200" s="41">
        <f t="shared" ref="G200:G263" si="33">G199+1</f>
        <v>195</v>
      </c>
      <c r="H200" s="41">
        <f t="shared" si="27"/>
        <v>1995</v>
      </c>
      <c r="I200" s="41" t="s">
        <v>308</v>
      </c>
      <c r="K200">
        <f t="shared" ref="K200:L257" si="34">K199+1</f>
        <v>3</v>
      </c>
      <c r="L200">
        <f t="shared" si="34"/>
        <v>3</v>
      </c>
      <c r="M200">
        <f t="shared" ref="M200:M263" si="35">M199+241</f>
        <v>46755</v>
      </c>
    </row>
    <row r="201" spans="1:17" x14ac:dyDescent="0.4">
      <c r="A201">
        <f t="shared" si="31"/>
        <v>52</v>
      </c>
      <c r="B201" s="41">
        <f t="shared" si="31"/>
        <v>196</v>
      </c>
      <c r="C201" s="41">
        <f t="shared" si="26"/>
        <v>1995</v>
      </c>
      <c r="D201" s="41" t="s">
        <v>309</v>
      </c>
      <c r="F201">
        <f t="shared" si="32"/>
        <v>1995.3333333333185</v>
      </c>
      <c r="G201" s="41">
        <f t="shared" si="33"/>
        <v>196</v>
      </c>
      <c r="H201" s="41">
        <f t="shared" si="27"/>
        <v>1995</v>
      </c>
      <c r="I201" s="41" t="s">
        <v>309</v>
      </c>
      <c r="K201">
        <f t="shared" si="34"/>
        <v>4</v>
      </c>
      <c r="L201">
        <f t="shared" si="34"/>
        <v>4</v>
      </c>
      <c r="M201">
        <f t="shared" si="35"/>
        <v>46996</v>
      </c>
    </row>
    <row r="202" spans="1:17" x14ac:dyDescent="0.4">
      <c r="A202">
        <f t="shared" si="31"/>
        <v>53</v>
      </c>
      <c r="B202" s="41">
        <f t="shared" si="31"/>
        <v>197</v>
      </c>
      <c r="C202" s="41">
        <f t="shared" si="26"/>
        <v>1995</v>
      </c>
      <c r="D202" s="41" t="s">
        <v>310</v>
      </c>
      <c r="F202">
        <f t="shared" si="32"/>
        <v>1995.4166666666517</v>
      </c>
      <c r="G202" s="41">
        <f t="shared" si="33"/>
        <v>197</v>
      </c>
      <c r="H202" s="41">
        <f t="shared" si="27"/>
        <v>1995</v>
      </c>
      <c r="I202" s="41" t="s">
        <v>310</v>
      </c>
      <c r="K202">
        <f t="shared" si="34"/>
        <v>5</v>
      </c>
      <c r="L202">
        <f t="shared" si="34"/>
        <v>5</v>
      </c>
      <c r="M202">
        <f t="shared" si="35"/>
        <v>47237</v>
      </c>
    </row>
    <row r="203" spans="1:17" x14ac:dyDescent="0.4">
      <c r="A203">
        <f t="shared" si="31"/>
        <v>54</v>
      </c>
      <c r="B203" s="41">
        <f t="shared" si="31"/>
        <v>198</v>
      </c>
      <c r="C203" s="41">
        <f t="shared" si="26"/>
        <v>1995</v>
      </c>
      <c r="D203" s="41" t="s">
        <v>311</v>
      </c>
      <c r="F203">
        <f t="shared" si="32"/>
        <v>1995.499999999985</v>
      </c>
      <c r="G203" s="41">
        <f t="shared" si="33"/>
        <v>198</v>
      </c>
      <c r="H203" s="41">
        <f t="shared" si="27"/>
        <v>1995</v>
      </c>
      <c r="I203" s="41" t="s">
        <v>311</v>
      </c>
      <c r="K203">
        <f t="shared" si="34"/>
        <v>6</v>
      </c>
      <c r="L203">
        <f t="shared" si="34"/>
        <v>6</v>
      </c>
      <c r="M203">
        <f t="shared" si="35"/>
        <v>47478</v>
      </c>
    </row>
    <row r="204" spans="1:17" x14ac:dyDescent="0.4">
      <c r="A204">
        <f t="shared" si="31"/>
        <v>55</v>
      </c>
      <c r="B204" s="41">
        <f t="shared" si="31"/>
        <v>199</v>
      </c>
      <c r="C204" s="41">
        <f t="shared" si="26"/>
        <v>1995</v>
      </c>
      <c r="D204" s="41" t="s">
        <v>312</v>
      </c>
      <c r="F204">
        <f t="shared" si="32"/>
        <v>1995.5833333333183</v>
      </c>
      <c r="G204" s="41">
        <f t="shared" si="33"/>
        <v>199</v>
      </c>
      <c r="H204" s="41">
        <f t="shared" si="27"/>
        <v>1995</v>
      </c>
      <c r="I204" s="41" t="s">
        <v>312</v>
      </c>
      <c r="K204">
        <f t="shared" si="34"/>
        <v>7</v>
      </c>
      <c r="L204">
        <f t="shared" si="34"/>
        <v>7</v>
      </c>
      <c r="M204">
        <f t="shared" si="35"/>
        <v>47719</v>
      </c>
      <c r="O204" s="84">
        <f>G204</f>
        <v>199</v>
      </c>
    </row>
    <row r="205" spans="1:17" x14ac:dyDescent="0.4">
      <c r="A205">
        <f t="shared" si="31"/>
        <v>56</v>
      </c>
      <c r="B205" s="41">
        <f t="shared" si="31"/>
        <v>200</v>
      </c>
      <c r="C205" s="41">
        <f t="shared" si="26"/>
        <v>1995</v>
      </c>
      <c r="D205" s="41" t="s">
        <v>313</v>
      </c>
      <c r="F205">
        <f t="shared" si="32"/>
        <v>1995.6666666666515</v>
      </c>
      <c r="G205" s="41">
        <f t="shared" si="33"/>
        <v>200</v>
      </c>
      <c r="H205" s="41">
        <f t="shared" si="27"/>
        <v>1995</v>
      </c>
      <c r="I205" s="41" t="s">
        <v>313</v>
      </c>
      <c r="K205">
        <f t="shared" si="34"/>
        <v>8</v>
      </c>
      <c r="L205">
        <f t="shared" si="34"/>
        <v>8</v>
      </c>
      <c r="M205">
        <f t="shared" si="35"/>
        <v>47960</v>
      </c>
    </row>
    <row r="206" spans="1:17" x14ac:dyDescent="0.4">
      <c r="A206">
        <f t="shared" si="31"/>
        <v>57</v>
      </c>
      <c r="B206" s="41">
        <f t="shared" si="31"/>
        <v>201</v>
      </c>
      <c r="C206" s="41">
        <f t="shared" si="26"/>
        <v>1995</v>
      </c>
      <c r="D206" s="41" t="s">
        <v>314</v>
      </c>
      <c r="F206">
        <f t="shared" si="32"/>
        <v>1995.7499999999848</v>
      </c>
      <c r="G206" s="41">
        <f t="shared" si="33"/>
        <v>201</v>
      </c>
      <c r="H206" s="41">
        <f t="shared" si="27"/>
        <v>1995</v>
      </c>
      <c r="I206" s="41" t="s">
        <v>314</v>
      </c>
      <c r="K206">
        <f t="shared" si="34"/>
        <v>9</v>
      </c>
      <c r="L206">
        <f t="shared" si="34"/>
        <v>9</v>
      </c>
      <c r="M206">
        <f t="shared" si="35"/>
        <v>48201</v>
      </c>
    </row>
    <row r="207" spans="1:17" x14ac:dyDescent="0.4">
      <c r="A207">
        <f t="shared" si="31"/>
        <v>58</v>
      </c>
      <c r="B207" s="41">
        <f t="shared" si="31"/>
        <v>202</v>
      </c>
      <c r="C207" s="41">
        <f t="shared" si="26"/>
        <v>1995</v>
      </c>
      <c r="D207" s="41" t="s">
        <v>316</v>
      </c>
      <c r="F207">
        <f t="shared" si="32"/>
        <v>1995.833333333318</v>
      </c>
      <c r="G207" s="41">
        <f t="shared" si="33"/>
        <v>202</v>
      </c>
      <c r="H207" s="41">
        <f t="shared" si="27"/>
        <v>1995</v>
      </c>
      <c r="I207" s="41" t="s">
        <v>316</v>
      </c>
      <c r="K207">
        <f t="shared" si="34"/>
        <v>10</v>
      </c>
      <c r="L207">
        <f t="shared" si="34"/>
        <v>10</v>
      </c>
      <c r="M207">
        <f t="shared" si="35"/>
        <v>48442</v>
      </c>
    </row>
    <row r="208" spans="1:17" x14ac:dyDescent="0.4">
      <c r="A208">
        <f t="shared" si="31"/>
        <v>59</v>
      </c>
      <c r="B208" s="41">
        <f t="shared" si="31"/>
        <v>203</v>
      </c>
      <c r="C208" s="41">
        <f t="shared" si="26"/>
        <v>1995</v>
      </c>
      <c r="D208" s="41" t="s">
        <v>317</v>
      </c>
      <c r="F208">
        <f t="shared" si="32"/>
        <v>1995.9166666666513</v>
      </c>
      <c r="G208" s="41">
        <f t="shared" si="33"/>
        <v>203</v>
      </c>
      <c r="H208" s="41">
        <f t="shared" si="27"/>
        <v>1995</v>
      </c>
      <c r="I208" s="41" t="s">
        <v>317</v>
      </c>
      <c r="K208">
        <f t="shared" si="34"/>
        <v>11</v>
      </c>
      <c r="L208">
        <f t="shared" si="34"/>
        <v>11</v>
      </c>
      <c r="M208">
        <f t="shared" si="35"/>
        <v>48683</v>
      </c>
    </row>
    <row r="209" spans="1:19" x14ac:dyDescent="0.4">
      <c r="A209">
        <f t="shared" si="31"/>
        <v>60</v>
      </c>
      <c r="B209" s="97">
        <f t="shared" si="31"/>
        <v>204</v>
      </c>
      <c r="C209" s="41">
        <f t="shared" si="26"/>
        <v>1995</v>
      </c>
      <c r="D209" s="41" t="s">
        <v>319</v>
      </c>
      <c r="F209">
        <f t="shared" si="32"/>
        <v>1995.9999999999845</v>
      </c>
      <c r="G209" s="98">
        <f t="shared" si="33"/>
        <v>204</v>
      </c>
      <c r="H209" s="99">
        <f t="shared" si="27"/>
        <v>1995</v>
      </c>
      <c r="I209" s="99" t="s">
        <v>319</v>
      </c>
      <c r="K209" s="42">
        <f t="shared" si="34"/>
        <v>12</v>
      </c>
      <c r="L209" s="42">
        <f t="shared" si="34"/>
        <v>12</v>
      </c>
      <c r="M209">
        <f t="shared" si="35"/>
        <v>48924</v>
      </c>
      <c r="O209" s="92"/>
      <c r="P209" s="42">
        <f>P197+1</f>
        <v>6</v>
      </c>
      <c r="Q209" s="42"/>
    </row>
    <row r="210" spans="1:19" x14ac:dyDescent="0.4">
      <c r="A210">
        <v>1</v>
      </c>
      <c r="B210" s="93">
        <f t="shared" si="31"/>
        <v>205</v>
      </c>
      <c r="C210" s="57">
        <f t="shared" si="26"/>
        <v>1996</v>
      </c>
      <c r="D210" s="57" t="s">
        <v>306</v>
      </c>
      <c r="F210">
        <f t="shared" si="32"/>
        <v>1996.0833333333178</v>
      </c>
      <c r="G210" s="93">
        <f t="shared" si="33"/>
        <v>205</v>
      </c>
      <c r="H210" s="57">
        <f t="shared" si="27"/>
        <v>1996</v>
      </c>
      <c r="I210" s="57" t="s">
        <v>306</v>
      </c>
      <c r="K210">
        <f t="shared" si="34"/>
        <v>13</v>
      </c>
      <c r="L210">
        <f t="shared" si="34"/>
        <v>13</v>
      </c>
      <c r="M210">
        <f t="shared" si="35"/>
        <v>49165</v>
      </c>
      <c r="S210" s="100">
        <v>205</v>
      </c>
    </row>
    <row r="211" spans="1:19" x14ac:dyDescent="0.4">
      <c r="A211">
        <f>A210+1</f>
        <v>2</v>
      </c>
      <c r="B211" s="57">
        <f t="shared" si="31"/>
        <v>206</v>
      </c>
      <c r="C211" s="57">
        <f t="shared" ref="C211:C274" si="36">C199+1</f>
        <v>1996</v>
      </c>
      <c r="D211" s="57" t="s">
        <v>307</v>
      </c>
      <c r="F211">
        <f t="shared" si="32"/>
        <v>1996.1666666666511</v>
      </c>
      <c r="G211" s="57">
        <f t="shared" si="33"/>
        <v>206</v>
      </c>
      <c r="H211" s="57">
        <f t="shared" ref="H211:H274" si="37">H199+1</f>
        <v>1996</v>
      </c>
      <c r="I211" s="57" t="s">
        <v>307</v>
      </c>
      <c r="K211">
        <f t="shared" si="34"/>
        <v>14</v>
      </c>
      <c r="L211">
        <f t="shared" si="34"/>
        <v>14</v>
      </c>
      <c r="M211">
        <f t="shared" si="35"/>
        <v>49406</v>
      </c>
      <c r="S211">
        <f>S210+1</f>
        <v>206</v>
      </c>
    </row>
    <row r="212" spans="1:19" x14ac:dyDescent="0.4">
      <c r="A212">
        <f t="shared" ref="A212:B227" si="38">A211+1</f>
        <v>3</v>
      </c>
      <c r="B212" s="57">
        <f t="shared" si="31"/>
        <v>207</v>
      </c>
      <c r="C212" s="57">
        <f t="shared" si="36"/>
        <v>1996</v>
      </c>
      <c r="D212" s="57" t="s">
        <v>308</v>
      </c>
      <c r="F212">
        <f t="shared" si="32"/>
        <v>1996.2499999999843</v>
      </c>
      <c r="G212" s="57">
        <f t="shared" si="33"/>
        <v>207</v>
      </c>
      <c r="H212" s="57">
        <f t="shared" si="37"/>
        <v>1996</v>
      </c>
      <c r="I212" s="57" t="s">
        <v>308</v>
      </c>
      <c r="K212">
        <f t="shared" si="34"/>
        <v>15</v>
      </c>
      <c r="L212">
        <f t="shared" si="34"/>
        <v>15</v>
      </c>
      <c r="M212">
        <f t="shared" si="35"/>
        <v>49647</v>
      </c>
      <c r="S212">
        <f t="shared" ref="S212:S275" si="39">S211+1</f>
        <v>207</v>
      </c>
    </row>
    <row r="213" spans="1:19" x14ac:dyDescent="0.4">
      <c r="A213">
        <f t="shared" si="38"/>
        <v>4</v>
      </c>
      <c r="B213" s="57">
        <f t="shared" si="31"/>
        <v>208</v>
      </c>
      <c r="C213" s="57">
        <f t="shared" si="36"/>
        <v>1996</v>
      </c>
      <c r="D213" s="57" t="s">
        <v>309</v>
      </c>
      <c r="F213">
        <f t="shared" si="32"/>
        <v>1996.3333333333176</v>
      </c>
      <c r="G213" s="57">
        <f t="shared" si="33"/>
        <v>208</v>
      </c>
      <c r="H213" s="57">
        <f t="shared" si="37"/>
        <v>1996</v>
      </c>
      <c r="I213" s="57" t="s">
        <v>309</v>
      </c>
      <c r="K213">
        <f t="shared" si="34"/>
        <v>16</v>
      </c>
      <c r="L213">
        <f t="shared" si="34"/>
        <v>16</v>
      </c>
      <c r="M213">
        <f t="shared" si="35"/>
        <v>49888</v>
      </c>
      <c r="S213">
        <f t="shared" si="39"/>
        <v>208</v>
      </c>
    </row>
    <row r="214" spans="1:19" x14ac:dyDescent="0.4">
      <c r="A214">
        <f t="shared" si="38"/>
        <v>5</v>
      </c>
      <c r="B214" s="57">
        <f t="shared" si="31"/>
        <v>209</v>
      </c>
      <c r="C214" s="57">
        <f t="shared" si="36"/>
        <v>1996</v>
      </c>
      <c r="D214" s="57" t="s">
        <v>310</v>
      </c>
      <c r="F214">
        <f t="shared" si="32"/>
        <v>1996.4166666666508</v>
      </c>
      <c r="G214" s="57">
        <f t="shared" si="33"/>
        <v>209</v>
      </c>
      <c r="H214" s="57">
        <f t="shared" si="37"/>
        <v>1996</v>
      </c>
      <c r="I214" s="57" t="s">
        <v>310</v>
      </c>
      <c r="K214">
        <f t="shared" si="34"/>
        <v>17</v>
      </c>
      <c r="L214">
        <f t="shared" si="34"/>
        <v>17</v>
      </c>
      <c r="M214">
        <f t="shared" si="35"/>
        <v>50129</v>
      </c>
      <c r="S214">
        <f t="shared" si="39"/>
        <v>209</v>
      </c>
    </row>
    <row r="215" spans="1:19" x14ac:dyDescent="0.4">
      <c r="A215">
        <f t="shared" si="38"/>
        <v>6</v>
      </c>
      <c r="B215" s="57">
        <f t="shared" si="31"/>
        <v>210</v>
      </c>
      <c r="C215" s="57">
        <f t="shared" si="36"/>
        <v>1996</v>
      </c>
      <c r="D215" s="57" t="s">
        <v>311</v>
      </c>
      <c r="F215">
        <f t="shared" si="32"/>
        <v>1996.4999999999841</v>
      </c>
      <c r="G215" s="57">
        <f t="shared" si="33"/>
        <v>210</v>
      </c>
      <c r="H215" s="57">
        <f t="shared" si="37"/>
        <v>1996</v>
      </c>
      <c r="I215" s="57" t="s">
        <v>311</v>
      </c>
      <c r="K215">
        <f t="shared" si="34"/>
        <v>18</v>
      </c>
      <c r="L215">
        <f t="shared" si="34"/>
        <v>18</v>
      </c>
      <c r="M215">
        <f t="shared" si="35"/>
        <v>50370</v>
      </c>
      <c r="S215">
        <f t="shared" si="39"/>
        <v>210</v>
      </c>
    </row>
    <row r="216" spans="1:19" x14ac:dyDescent="0.4">
      <c r="A216">
        <f t="shared" si="38"/>
        <v>7</v>
      </c>
      <c r="B216" s="57">
        <f t="shared" si="38"/>
        <v>211</v>
      </c>
      <c r="C216" s="57">
        <f t="shared" si="36"/>
        <v>1996</v>
      </c>
      <c r="D216" s="57" t="s">
        <v>312</v>
      </c>
      <c r="F216">
        <f t="shared" si="32"/>
        <v>1996.5833333333173</v>
      </c>
      <c r="G216" s="57">
        <f t="shared" si="33"/>
        <v>211</v>
      </c>
      <c r="H216" s="57">
        <f t="shared" si="37"/>
        <v>1996</v>
      </c>
      <c r="I216" s="57" t="s">
        <v>312</v>
      </c>
      <c r="K216">
        <f t="shared" si="34"/>
        <v>19</v>
      </c>
      <c r="L216">
        <f t="shared" si="34"/>
        <v>19</v>
      </c>
      <c r="M216">
        <f t="shared" si="35"/>
        <v>50611</v>
      </c>
      <c r="S216">
        <f t="shared" si="39"/>
        <v>211</v>
      </c>
    </row>
    <row r="217" spans="1:19" x14ac:dyDescent="0.4">
      <c r="A217">
        <f t="shared" si="38"/>
        <v>8</v>
      </c>
      <c r="B217" s="57">
        <f t="shared" si="38"/>
        <v>212</v>
      </c>
      <c r="C217" s="57">
        <f t="shared" si="36"/>
        <v>1996</v>
      </c>
      <c r="D217" s="57" t="s">
        <v>313</v>
      </c>
      <c r="F217">
        <f t="shared" si="32"/>
        <v>1996.6666666666506</v>
      </c>
      <c r="G217" s="57">
        <f t="shared" si="33"/>
        <v>212</v>
      </c>
      <c r="H217" s="57">
        <f t="shared" si="37"/>
        <v>1996</v>
      </c>
      <c r="I217" s="57" t="s">
        <v>313</v>
      </c>
      <c r="K217">
        <f t="shared" si="34"/>
        <v>20</v>
      </c>
      <c r="L217">
        <f t="shared" si="34"/>
        <v>20</v>
      </c>
      <c r="M217">
        <f t="shared" si="35"/>
        <v>50852</v>
      </c>
      <c r="S217">
        <f t="shared" si="39"/>
        <v>212</v>
      </c>
    </row>
    <row r="218" spans="1:19" x14ac:dyDescent="0.4">
      <c r="A218">
        <f t="shared" si="38"/>
        <v>9</v>
      </c>
      <c r="B218" s="57">
        <f t="shared" si="38"/>
        <v>213</v>
      </c>
      <c r="C218" s="57">
        <f t="shared" si="36"/>
        <v>1996</v>
      </c>
      <c r="D218" s="57" t="s">
        <v>314</v>
      </c>
      <c r="F218">
        <f t="shared" si="32"/>
        <v>1996.7499999999839</v>
      </c>
      <c r="G218" s="57">
        <f t="shared" si="33"/>
        <v>213</v>
      </c>
      <c r="H218" s="57">
        <f t="shared" si="37"/>
        <v>1996</v>
      </c>
      <c r="I218" s="57" t="s">
        <v>314</v>
      </c>
      <c r="K218">
        <f t="shared" si="34"/>
        <v>21</v>
      </c>
      <c r="L218">
        <f t="shared" si="34"/>
        <v>21</v>
      </c>
      <c r="M218">
        <f t="shared" si="35"/>
        <v>51093</v>
      </c>
      <c r="S218">
        <f t="shared" si="39"/>
        <v>213</v>
      </c>
    </row>
    <row r="219" spans="1:19" x14ac:dyDescent="0.4">
      <c r="A219">
        <f t="shared" si="38"/>
        <v>10</v>
      </c>
      <c r="B219" s="57">
        <f t="shared" si="38"/>
        <v>214</v>
      </c>
      <c r="C219" s="57">
        <f t="shared" si="36"/>
        <v>1996</v>
      </c>
      <c r="D219" s="57" t="s">
        <v>316</v>
      </c>
      <c r="F219">
        <f t="shared" si="32"/>
        <v>1996.8333333333171</v>
      </c>
      <c r="G219" s="57">
        <f t="shared" si="33"/>
        <v>214</v>
      </c>
      <c r="H219" s="57">
        <f t="shared" si="37"/>
        <v>1996</v>
      </c>
      <c r="I219" s="57" t="s">
        <v>316</v>
      </c>
      <c r="K219">
        <f t="shared" si="34"/>
        <v>22</v>
      </c>
      <c r="L219">
        <f t="shared" si="34"/>
        <v>22</v>
      </c>
      <c r="M219">
        <f t="shared" si="35"/>
        <v>51334</v>
      </c>
      <c r="S219">
        <f t="shared" si="39"/>
        <v>214</v>
      </c>
    </row>
    <row r="220" spans="1:19" x14ac:dyDescent="0.4">
      <c r="A220">
        <f t="shared" si="38"/>
        <v>11</v>
      </c>
      <c r="B220" s="57">
        <f t="shared" si="38"/>
        <v>215</v>
      </c>
      <c r="C220" s="57">
        <f t="shared" si="36"/>
        <v>1996</v>
      </c>
      <c r="D220" s="57" t="s">
        <v>317</v>
      </c>
      <c r="F220">
        <f t="shared" si="32"/>
        <v>1996.9166666666504</v>
      </c>
      <c r="G220" s="57">
        <f t="shared" si="33"/>
        <v>215</v>
      </c>
      <c r="H220" s="57">
        <f t="shared" si="37"/>
        <v>1996</v>
      </c>
      <c r="I220" s="57" t="s">
        <v>317</v>
      </c>
      <c r="K220">
        <f t="shared" si="34"/>
        <v>23</v>
      </c>
      <c r="L220">
        <f t="shared" si="34"/>
        <v>23</v>
      </c>
      <c r="M220">
        <f t="shared" si="35"/>
        <v>51575</v>
      </c>
      <c r="S220">
        <f t="shared" si="39"/>
        <v>215</v>
      </c>
    </row>
    <row r="221" spans="1:19" x14ac:dyDescent="0.4">
      <c r="A221">
        <f t="shared" si="38"/>
        <v>12</v>
      </c>
      <c r="B221" s="57">
        <f t="shared" si="38"/>
        <v>216</v>
      </c>
      <c r="C221" s="57">
        <f t="shared" si="36"/>
        <v>1996</v>
      </c>
      <c r="D221" s="57" t="s">
        <v>319</v>
      </c>
      <c r="F221">
        <f t="shared" si="32"/>
        <v>1996.9999999999836</v>
      </c>
      <c r="G221" s="101">
        <f t="shared" si="33"/>
        <v>216</v>
      </c>
      <c r="H221" s="101">
        <f t="shared" si="37"/>
        <v>1996</v>
      </c>
      <c r="I221" s="101" t="s">
        <v>319</v>
      </c>
      <c r="K221" s="42">
        <f t="shared" si="34"/>
        <v>24</v>
      </c>
      <c r="L221" s="42">
        <f t="shared" si="34"/>
        <v>24</v>
      </c>
      <c r="M221">
        <f t="shared" si="35"/>
        <v>51816</v>
      </c>
      <c r="O221" s="92"/>
      <c r="P221" s="42">
        <f>P209+1</f>
        <v>7</v>
      </c>
      <c r="Q221" s="42"/>
      <c r="S221" s="100">
        <f t="shared" si="39"/>
        <v>216</v>
      </c>
    </row>
    <row r="222" spans="1:19" x14ac:dyDescent="0.4">
      <c r="A222">
        <f t="shared" si="38"/>
        <v>13</v>
      </c>
      <c r="B222" s="57">
        <f t="shared" si="38"/>
        <v>217</v>
      </c>
      <c r="C222" s="57">
        <f t="shared" si="36"/>
        <v>1997</v>
      </c>
      <c r="D222" s="57" t="s">
        <v>306</v>
      </c>
      <c r="F222">
        <f t="shared" si="32"/>
        <v>1997.0833333333169</v>
      </c>
      <c r="G222" s="57">
        <f t="shared" si="33"/>
        <v>217</v>
      </c>
      <c r="H222" s="57">
        <f t="shared" si="37"/>
        <v>1997</v>
      </c>
      <c r="I222" s="57" t="s">
        <v>306</v>
      </c>
      <c r="K222">
        <f t="shared" si="34"/>
        <v>25</v>
      </c>
      <c r="L222">
        <f t="shared" si="34"/>
        <v>25</v>
      </c>
      <c r="M222">
        <f t="shared" si="35"/>
        <v>52057</v>
      </c>
      <c r="S222" s="100">
        <f t="shared" si="39"/>
        <v>217</v>
      </c>
    </row>
    <row r="223" spans="1:19" x14ac:dyDescent="0.4">
      <c r="A223">
        <f t="shared" si="38"/>
        <v>14</v>
      </c>
      <c r="B223" s="57">
        <f t="shared" si="38"/>
        <v>218</v>
      </c>
      <c r="C223" s="57">
        <f t="shared" si="36"/>
        <v>1997</v>
      </c>
      <c r="D223" s="57" t="s">
        <v>307</v>
      </c>
      <c r="F223">
        <f t="shared" si="32"/>
        <v>1997.1666666666501</v>
      </c>
      <c r="G223" s="57">
        <f t="shared" si="33"/>
        <v>218</v>
      </c>
      <c r="H223" s="57">
        <f t="shared" si="37"/>
        <v>1997</v>
      </c>
      <c r="I223" s="57" t="s">
        <v>307</v>
      </c>
      <c r="K223">
        <f t="shared" si="34"/>
        <v>26</v>
      </c>
      <c r="L223">
        <f t="shared" si="34"/>
        <v>26</v>
      </c>
      <c r="M223">
        <f t="shared" si="35"/>
        <v>52298</v>
      </c>
      <c r="S223">
        <f t="shared" si="39"/>
        <v>218</v>
      </c>
    </row>
    <row r="224" spans="1:19" x14ac:dyDescent="0.4">
      <c r="A224">
        <f t="shared" si="38"/>
        <v>15</v>
      </c>
      <c r="B224" s="57">
        <f t="shared" si="38"/>
        <v>219</v>
      </c>
      <c r="C224" s="57">
        <f t="shared" si="36"/>
        <v>1997</v>
      </c>
      <c r="D224" s="57" t="s">
        <v>308</v>
      </c>
      <c r="F224">
        <f t="shared" si="32"/>
        <v>1997.2499999999834</v>
      </c>
      <c r="G224" s="57">
        <f t="shared" si="33"/>
        <v>219</v>
      </c>
      <c r="H224" s="57">
        <f t="shared" si="37"/>
        <v>1997</v>
      </c>
      <c r="I224" s="57" t="s">
        <v>308</v>
      </c>
      <c r="K224">
        <f t="shared" si="34"/>
        <v>27</v>
      </c>
      <c r="L224">
        <f t="shared" si="34"/>
        <v>27</v>
      </c>
      <c r="M224">
        <f t="shared" si="35"/>
        <v>52539</v>
      </c>
      <c r="S224">
        <f t="shared" si="39"/>
        <v>219</v>
      </c>
    </row>
    <row r="225" spans="1:20" x14ac:dyDescent="0.4">
      <c r="A225">
        <f t="shared" si="38"/>
        <v>16</v>
      </c>
      <c r="B225" s="57">
        <f t="shared" si="38"/>
        <v>220</v>
      </c>
      <c r="C225" s="57">
        <f t="shared" si="36"/>
        <v>1997</v>
      </c>
      <c r="D225" s="57" t="s">
        <v>309</v>
      </c>
      <c r="F225">
        <f t="shared" si="32"/>
        <v>1997.3333333333167</v>
      </c>
      <c r="G225" s="57">
        <f t="shared" si="33"/>
        <v>220</v>
      </c>
      <c r="H225" s="57">
        <f t="shared" si="37"/>
        <v>1997</v>
      </c>
      <c r="I225" s="57" t="s">
        <v>309</v>
      </c>
      <c r="K225">
        <f t="shared" si="34"/>
        <v>28</v>
      </c>
      <c r="L225">
        <f t="shared" si="34"/>
        <v>28</v>
      </c>
      <c r="M225">
        <f t="shared" si="35"/>
        <v>52780</v>
      </c>
      <c r="S225">
        <f t="shared" si="39"/>
        <v>220</v>
      </c>
    </row>
    <row r="226" spans="1:20" x14ac:dyDescent="0.4">
      <c r="A226">
        <f t="shared" si="38"/>
        <v>17</v>
      </c>
      <c r="B226" s="57">
        <f t="shared" si="38"/>
        <v>221</v>
      </c>
      <c r="C226" s="57">
        <f t="shared" si="36"/>
        <v>1997</v>
      </c>
      <c r="D226" s="57" t="s">
        <v>310</v>
      </c>
      <c r="F226">
        <f t="shared" si="32"/>
        <v>1997.4166666666499</v>
      </c>
      <c r="G226" s="57">
        <f t="shared" si="33"/>
        <v>221</v>
      </c>
      <c r="H226" s="57">
        <f t="shared" si="37"/>
        <v>1997</v>
      </c>
      <c r="I226" s="57" t="s">
        <v>310</v>
      </c>
      <c r="K226">
        <f t="shared" si="34"/>
        <v>29</v>
      </c>
      <c r="L226">
        <f t="shared" si="34"/>
        <v>29</v>
      </c>
      <c r="M226">
        <f t="shared" si="35"/>
        <v>53021</v>
      </c>
      <c r="S226">
        <f t="shared" si="39"/>
        <v>221</v>
      </c>
    </row>
    <row r="227" spans="1:20" x14ac:dyDescent="0.4">
      <c r="A227">
        <f t="shared" si="38"/>
        <v>18</v>
      </c>
      <c r="B227" s="57">
        <f t="shared" si="38"/>
        <v>222</v>
      </c>
      <c r="C227" s="57">
        <f t="shared" si="36"/>
        <v>1997</v>
      </c>
      <c r="D227" s="57" t="s">
        <v>311</v>
      </c>
      <c r="F227">
        <f t="shared" si="32"/>
        <v>1997.4999999999832</v>
      </c>
      <c r="G227" s="57">
        <f t="shared" si="33"/>
        <v>222</v>
      </c>
      <c r="H227" s="57">
        <f t="shared" si="37"/>
        <v>1997</v>
      </c>
      <c r="I227" s="57" t="s">
        <v>311</v>
      </c>
      <c r="K227">
        <f t="shared" si="34"/>
        <v>30</v>
      </c>
      <c r="L227">
        <f t="shared" si="34"/>
        <v>30</v>
      </c>
      <c r="M227">
        <f t="shared" si="35"/>
        <v>53262</v>
      </c>
      <c r="S227">
        <f t="shared" si="39"/>
        <v>222</v>
      </c>
    </row>
    <row r="228" spans="1:20" x14ac:dyDescent="0.4">
      <c r="A228">
        <f t="shared" ref="A228:B243" si="40">A227+1</f>
        <v>19</v>
      </c>
      <c r="B228" s="57">
        <f t="shared" si="40"/>
        <v>223</v>
      </c>
      <c r="C228" s="57">
        <f t="shared" si="36"/>
        <v>1997</v>
      </c>
      <c r="D228" s="57" t="s">
        <v>312</v>
      </c>
      <c r="F228">
        <f t="shared" si="32"/>
        <v>1997.5833333333164</v>
      </c>
      <c r="G228" s="57">
        <f t="shared" si="33"/>
        <v>223</v>
      </c>
      <c r="H228" s="57">
        <f t="shared" si="37"/>
        <v>1997</v>
      </c>
      <c r="I228" s="57" t="s">
        <v>312</v>
      </c>
      <c r="K228">
        <f t="shared" si="34"/>
        <v>31</v>
      </c>
      <c r="L228">
        <f t="shared" si="34"/>
        <v>31</v>
      </c>
      <c r="M228">
        <f t="shared" si="35"/>
        <v>53503</v>
      </c>
      <c r="S228">
        <f t="shared" si="39"/>
        <v>223</v>
      </c>
    </row>
    <row r="229" spans="1:20" x14ac:dyDescent="0.4">
      <c r="A229">
        <f t="shared" si="40"/>
        <v>20</v>
      </c>
      <c r="B229" s="57">
        <f t="shared" si="40"/>
        <v>224</v>
      </c>
      <c r="C229" s="57">
        <f t="shared" si="36"/>
        <v>1997</v>
      </c>
      <c r="D229" s="57" t="s">
        <v>313</v>
      </c>
      <c r="F229">
        <f t="shared" si="32"/>
        <v>1997.6666666666497</v>
      </c>
      <c r="G229" s="57">
        <f t="shared" si="33"/>
        <v>224</v>
      </c>
      <c r="H229" s="57">
        <f t="shared" si="37"/>
        <v>1997</v>
      </c>
      <c r="I229" s="57" t="s">
        <v>313</v>
      </c>
      <c r="K229">
        <f t="shared" si="34"/>
        <v>32</v>
      </c>
      <c r="L229">
        <f t="shared" si="34"/>
        <v>32</v>
      </c>
      <c r="M229">
        <f t="shared" si="35"/>
        <v>53744</v>
      </c>
      <c r="S229">
        <f t="shared" si="39"/>
        <v>224</v>
      </c>
    </row>
    <row r="230" spans="1:20" x14ac:dyDescent="0.4">
      <c r="A230">
        <f t="shared" si="40"/>
        <v>21</v>
      </c>
      <c r="B230" s="57">
        <f t="shared" si="40"/>
        <v>225</v>
      </c>
      <c r="C230" s="57">
        <f t="shared" si="36"/>
        <v>1997</v>
      </c>
      <c r="D230" s="57" t="s">
        <v>314</v>
      </c>
      <c r="F230">
        <f t="shared" si="32"/>
        <v>1997.7499999999829</v>
      </c>
      <c r="G230" s="57">
        <f t="shared" si="33"/>
        <v>225</v>
      </c>
      <c r="H230" s="57">
        <f t="shared" si="37"/>
        <v>1997</v>
      </c>
      <c r="I230" s="57" t="s">
        <v>314</v>
      </c>
      <c r="K230">
        <f t="shared" si="34"/>
        <v>33</v>
      </c>
      <c r="L230">
        <f t="shared" si="34"/>
        <v>33</v>
      </c>
      <c r="M230">
        <f t="shared" si="35"/>
        <v>53985</v>
      </c>
      <c r="S230">
        <f t="shared" si="39"/>
        <v>225</v>
      </c>
    </row>
    <row r="231" spans="1:20" x14ac:dyDescent="0.4">
      <c r="A231">
        <f t="shared" si="40"/>
        <v>22</v>
      </c>
      <c r="B231" s="57">
        <f t="shared" si="40"/>
        <v>226</v>
      </c>
      <c r="C231" s="57">
        <f t="shared" si="36"/>
        <v>1997</v>
      </c>
      <c r="D231" s="57" t="s">
        <v>316</v>
      </c>
      <c r="F231">
        <f t="shared" si="32"/>
        <v>1997.8333333333162</v>
      </c>
      <c r="G231" s="57">
        <f t="shared" si="33"/>
        <v>226</v>
      </c>
      <c r="H231" s="57">
        <f t="shared" si="37"/>
        <v>1997</v>
      </c>
      <c r="I231" s="57" t="s">
        <v>316</v>
      </c>
      <c r="K231">
        <f t="shared" si="34"/>
        <v>34</v>
      </c>
      <c r="L231">
        <f t="shared" si="34"/>
        <v>34</v>
      </c>
      <c r="M231">
        <f t="shared" si="35"/>
        <v>54226</v>
      </c>
      <c r="S231">
        <f t="shared" si="39"/>
        <v>226</v>
      </c>
    </row>
    <row r="232" spans="1:20" x14ac:dyDescent="0.4">
      <c r="A232">
        <f t="shared" si="40"/>
        <v>23</v>
      </c>
      <c r="B232" s="57">
        <f t="shared" si="40"/>
        <v>227</v>
      </c>
      <c r="C232" s="57">
        <f t="shared" si="36"/>
        <v>1997</v>
      </c>
      <c r="D232" s="57" t="s">
        <v>317</v>
      </c>
      <c r="F232">
        <f t="shared" si="32"/>
        <v>1997.9166666666495</v>
      </c>
      <c r="G232" s="57">
        <f t="shared" si="33"/>
        <v>227</v>
      </c>
      <c r="H232" s="57">
        <f t="shared" si="37"/>
        <v>1997</v>
      </c>
      <c r="I232" s="57" t="s">
        <v>317</v>
      </c>
      <c r="K232">
        <f t="shared" si="34"/>
        <v>35</v>
      </c>
      <c r="L232">
        <f t="shared" si="34"/>
        <v>35</v>
      </c>
      <c r="M232">
        <f t="shared" si="35"/>
        <v>54467</v>
      </c>
      <c r="S232">
        <f t="shared" si="39"/>
        <v>227</v>
      </c>
    </row>
    <row r="233" spans="1:20" x14ac:dyDescent="0.4">
      <c r="A233">
        <f t="shared" si="40"/>
        <v>24</v>
      </c>
      <c r="B233" s="57">
        <f t="shared" si="40"/>
        <v>228</v>
      </c>
      <c r="C233" s="57">
        <f t="shared" si="36"/>
        <v>1997</v>
      </c>
      <c r="D233" s="57" t="s">
        <v>319</v>
      </c>
      <c r="F233">
        <f t="shared" si="32"/>
        <v>1997.9999999999827</v>
      </c>
      <c r="G233" s="101">
        <f t="shared" si="33"/>
        <v>228</v>
      </c>
      <c r="H233" s="101">
        <f t="shared" si="37"/>
        <v>1997</v>
      </c>
      <c r="I233" s="101" t="s">
        <v>319</v>
      </c>
      <c r="K233" s="42">
        <f t="shared" si="34"/>
        <v>36</v>
      </c>
      <c r="L233" s="42">
        <f t="shared" si="34"/>
        <v>36</v>
      </c>
      <c r="M233">
        <f t="shared" si="35"/>
        <v>54708</v>
      </c>
      <c r="O233" s="92"/>
      <c r="P233" s="42">
        <f>P221+1</f>
        <v>8</v>
      </c>
      <c r="Q233" s="42"/>
      <c r="S233" s="100">
        <f t="shared" si="39"/>
        <v>228</v>
      </c>
      <c r="T233" t="s">
        <v>324</v>
      </c>
    </row>
    <row r="234" spans="1:20" x14ac:dyDescent="0.4">
      <c r="A234">
        <f t="shared" si="40"/>
        <v>25</v>
      </c>
      <c r="B234" s="57">
        <f t="shared" si="40"/>
        <v>229</v>
      </c>
      <c r="C234" s="57">
        <f t="shared" si="36"/>
        <v>1998</v>
      </c>
      <c r="D234" s="57" t="s">
        <v>306</v>
      </c>
      <c r="E234" s="6"/>
      <c r="F234">
        <f t="shared" si="32"/>
        <v>1998.083333333316</v>
      </c>
      <c r="G234" s="57">
        <f t="shared" si="33"/>
        <v>229</v>
      </c>
      <c r="H234" s="57">
        <f t="shared" si="37"/>
        <v>1998</v>
      </c>
      <c r="I234" s="57" t="s">
        <v>306</v>
      </c>
      <c r="K234">
        <f t="shared" si="34"/>
        <v>37</v>
      </c>
      <c r="L234">
        <f t="shared" si="34"/>
        <v>37</v>
      </c>
      <c r="M234">
        <f t="shared" si="35"/>
        <v>54949</v>
      </c>
      <c r="S234" s="100">
        <f t="shared" si="39"/>
        <v>229</v>
      </c>
    </row>
    <row r="235" spans="1:20" x14ac:dyDescent="0.4">
      <c r="A235">
        <f t="shared" si="40"/>
        <v>26</v>
      </c>
      <c r="B235" s="57">
        <f t="shared" si="40"/>
        <v>230</v>
      </c>
      <c r="C235" s="57">
        <f t="shared" si="36"/>
        <v>1998</v>
      </c>
      <c r="D235" s="57" t="s">
        <v>307</v>
      </c>
      <c r="E235" s="6"/>
      <c r="F235">
        <f t="shared" si="32"/>
        <v>1998.1666666666492</v>
      </c>
      <c r="G235" s="57">
        <f t="shared" si="33"/>
        <v>230</v>
      </c>
      <c r="H235" s="57">
        <f t="shared" si="37"/>
        <v>1998</v>
      </c>
      <c r="I235" s="57" t="s">
        <v>307</v>
      </c>
      <c r="K235">
        <f t="shared" si="34"/>
        <v>38</v>
      </c>
      <c r="L235">
        <f t="shared" si="34"/>
        <v>38</v>
      </c>
      <c r="M235">
        <f t="shared" si="35"/>
        <v>55190</v>
      </c>
      <c r="S235">
        <f t="shared" si="39"/>
        <v>230</v>
      </c>
    </row>
    <row r="236" spans="1:20" x14ac:dyDescent="0.4">
      <c r="A236">
        <f t="shared" si="40"/>
        <v>27</v>
      </c>
      <c r="B236" s="57">
        <f t="shared" si="40"/>
        <v>231</v>
      </c>
      <c r="C236" s="57">
        <f t="shared" si="36"/>
        <v>1998</v>
      </c>
      <c r="D236" s="57" t="s">
        <v>308</v>
      </c>
      <c r="E236" s="6"/>
      <c r="F236">
        <f t="shared" si="32"/>
        <v>1998.2499999999825</v>
      </c>
      <c r="G236" s="57">
        <f t="shared" si="33"/>
        <v>231</v>
      </c>
      <c r="H236" s="57">
        <f t="shared" si="37"/>
        <v>1998</v>
      </c>
      <c r="I236" s="57" t="s">
        <v>308</v>
      </c>
      <c r="K236">
        <f t="shared" si="34"/>
        <v>39</v>
      </c>
      <c r="L236">
        <f t="shared" si="34"/>
        <v>39</v>
      </c>
      <c r="M236">
        <f t="shared" si="35"/>
        <v>55431</v>
      </c>
      <c r="S236">
        <f t="shared" si="39"/>
        <v>231</v>
      </c>
    </row>
    <row r="237" spans="1:20" x14ac:dyDescent="0.4">
      <c r="A237">
        <f t="shared" si="40"/>
        <v>28</v>
      </c>
      <c r="B237" s="57">
        <f t="shared" si="40"/>
        <v>232</v>
      </c>
      <c r="C237" s="57">
        <f t="shared" si="36"/>
        <v>1998</v>
      </c>
      <c r="D237" s="57" t="s">
        <v>309</v>
      </c>
      <c r="E237" s="6"/>
      <c r="F237">
        <f t="shared" si="32"/>
        <v>1998.3333333333157</v>
      </c>
      <c r="G237" s="57">
        <f t="shared" si="33"/>
        <v>232</v>
      </c>
      <c r="H237" s="57">
        <f t="shared" si="37"/>
        <v>1998</v>
      </c>
      <c r="I237" s="57" t="s">
        <v>309</v>
      </c>
      <c r="K237">
        <f t="shared" si="34"/>
        <v>40</v>
      </c>
      <c r="L237">
        <f t="shared" si="34"/>
        <v>40</v>
      </c>
      <c r="M237">
        <f t="shared" si="35"/>
        <v>55672</v>
      </c>
      <c r="S237">
        <f t="shared" si="39"/>
        <v>232</v>
      </c>
    </row>
    <row r="238" spans="1:20" x14ac:dyDescent="0.4">
      <c r="A238">
        <f t="shared" si="40"/>
        <v>29</v>
      </c>
      <c r="B238" s="57">
        <f t="shared" si="40"/>
        <v>233</v>
      </c>
      <c r="C238" s="57">
        <f t="shared" si="36"/>
        <v>1998</v>
      </c>
      <c r="D238" s="57" t="s">
        <v>310</v>
      </c>
      <c r="E238" s="6"/>
      <c r="F238">
        <f t="shared" si="32"/>
        <v>1998.416666666649</v>
      </c>
      <c r="G238" s="57">
        <f t="shared" si="33"/>
        <v>233</v>
      </c>
      <c r="H238" s="57">
        <f t="shared" si="37"/>
        <v>1998</v>
      </c>
      <c r="I238" s="57" t="s">
        <v>310</v>
      </c>
      <c r="K238">
        <f t="shared" si="34"/>
        <v>41</v>
      </c>
      <c r="L238">
        <f t="shared" si="34"/>
        <v>41</v>
      </c>
      <c r="M238">
        <f t="shared" si="35"/>
        <v>55913</v>
      </c>
      <c r="S238">
        <f t="shared" si="39"/>
        <v>233</v>
      </c>
    </row>
    <row r="239" spans="1:20" x14ac:dyDescent="0.4">
      <c r="A239">
        <f t="shared" si="40"/>
        <v>30</v>
      </c>
      <c r="B239" s="57">
        <f t="shared" si="40"/>
        <v>234</v>
      </c>
      <c r="C239" s="57">
        <f t="shared" si="36"/>
        <v>1998</v>
      </c>
      <c r="D239" s="57" t="s">
        <v>311</v>
      </c>
      <c r="E239" s="6"/>
      <c r="F239">
        <f t="shared" si="32"/>
        <v>1998.4999999999823</v>
      </c>
      <c r="G239" s="57">
        <f t="shared" si="33"/>
        <v>234</v>
      </c>
      <c r="H239" s="57">
        <f t="shared" si="37"/>
        <v>1998</v>
      </c>
      <c r="I239" s="57" t="s">
        <v>311</v>
      </c>
      <c r="K239">
        <f t="shared" si="34"/>
        <v>42</v>
      </c>
      <c r="L239">
        <f t="shared" si="34"/>
        <v>42</v>
      </c>
      <c r="M239">
        <f t="shared" si="35"/>
        <v>56154</v>
      </c>
      <c r="S239">
        <f t="shared" si="39"/>
        <v>234</v>
      </c>
    </row>
    <row r="240" spans="1:20" x14ac:dyDescent="0.4">
      <c r="A240">
        <f t="shared" si="40"/>
        <v>31</v>
      </c>
      <c r="B240" s="57">
        <f t="shared" si="40"/>
        <v>235</v>
      </c>
      <c r="C240" s="57">
        <f t="shared" si="36"/>
        <v>1998</v>
      </c>
      <c r="D240" s="57" t="s">
        <v>312</v>
      </c>
      <c r="E240" s="6"/>
      <c r="F240">
        <f t="shared" si="32"/>
        <v>1998.5833333333155</v>
      </c>
      <c r="G240" s="57">
        <f t="shared" si="33"/>
        <v>235</v>
      </c>
      <c r="H240" s="57">
        <f t="shared" si="37"/>
        <v>1998</v>
      </c>
      <c r="I240" s="57" t="s">
        <v>312</v>
      </c>
      <c r="K240">
        <f t="shared" si="34"/>
        <v>43</v>
      </c>
      <c r="L240">
        <f t="shared" si="34"/>
        <v>43</v>
      </c>
      <c r="M240">
        <f t="shared" si="35"/>
        <v>56395</v>
      </c>
      <c r="S240">
        <f t="shared" si="39"/>
        <v>235</v>
      </c>
    </row>
    <row r="241" spans="1:19" x14ac:dyDescent="0.4">
      <c r="A241">
        <f t="shared" si="40"/>
        <v>32</v>
      </c>
      <c r="B241" s="57">
        <f t="shared" si="40"/>
        <v>236</v>
      </c>
      <c r="C241" s="57">
        <f t="shared" si="36"/>
        <v>1998</v>
      </c>
      <c r="D241" s="57" t="s">
        <v>313</v>
      </c>
      <c r="E241" s="6"/>
      <c r="F241">
        <f t="shared" si="32"/>
        <v>1998.6666666666488</v>
      </c>
      <c r="G241" s="57">
        <f t="shared" si="33"/>
        <v>236</v>
      </c>
      <c r="H241" s="57">
        <f t="shared" si="37"/>
        <v>1998</v>
      </c>
      <c r="I241" s="57" t="s">
        <v>313</v>
      </c>
      <c r="K241">
        <f t="shared" si="34"/>
        <v>44</v>
      </c>
      <c r="L241">
        <f t="shared" si="34"/>
        <v>44</v>
      </c>
      <c r="M241">
        <f t="shared" si="35"/>
        <v>56636</v>
      </c>
      <c r="S241">
        <f t="shared" si="39"/>
        <v>236</v>
      </c>
    </row>
    <row r="242" spans="1:19" x14ac:dyDescent="0.4">
      <c r="A242">
        <f t="shared" si="40"/>
        <v>33</v>
      </c>
      <c r="B242" s="57">
        <f t="shared" si="40"/>
        <v>237</v>
      </c>
      <c r="C242" s="57">
        <f t="shared" si="36"/>
        <v>1998</v>
      </c>
      <c r="D242" s="57" t="s">
        <v>314</v>
      </c>
      <c r="E242" s="6"/>
      <c r="F242">
        <f t="shared" si="32"/>
        <v>1998.749999999982</v>
      </c>
      <c r="G242" s="57">
        <f t="shared" si="33"/>
        <v>237</v>
      </c>
      <c r="H242" s="57">
        <f t="shared" si="37"/>
        <v>1998</v>
      </c>
      <c r="I242" s="57" t="s">
        <v>314</v>
      </c>
      <c r="K242">
        <f t="shared" si="34"/>
        <v>45</v>
      </c>
      <c r="L242">
        <f t="shared" si="34"/>
        <v>45</v>
      </c>
      <c r="M242">
        <f t="shared" si="35"/>
        <v>56877</v>
      </c>
      <c r="S242">
        <f t="shared" si="39"/>
        <v>237</v>
      </c>
    </row>
    <row r="243" spans="1:19" x14ac:dyDescent="0.4">
      <c r="A243">
        <f t="shared" si="40"/>
        <v>34</v>
      </c>
      <c r="B243" s="57">
        <f t="shared" si="40"/>
        <v>238</v>
      </c>
      <c r="C243" s="57">
        <f t="shared" si="36"/>
        <v>1998</v>
      </c>
      <c r="D243" s="57" t="s">
        <v>316</v>
      </c>
      <c r="E243" s="6"/>
      <c r="F243">
        <f t="shared" si="32"/>
        <v>1998.8333333333153</v>
      </c>
      <c r="G243" s="57">
        <f t="shared" si="33"/>
        <v>238</v>
      </c>
      <c r="H243" s="57">
        <f t="shared" si="37"/>
        <v>1998</v>
      </c>
      <c r="I243" s="57" t="s">
        <v>316</v>
      </c>
      <c r="K243">
        <f t="shared" si="34"/>
        <v>46</v>
      </c>
      <c r="L243">
        <f t="shared" si="34"/>
        <v>46</v>
      </c>
      <c r="M243">
        <f t="shared" si="35"/>
        <v>57118</v>
      </c>
      <c r="S243">
        <f t="shared" si="39"/>
        <v>238</v>
      </c>
    </row>
    <row r="244" spans="1:19" x14ac:dyDescent="0.4">
      <c r="A244">
        <f t="shared" ref="A244:B259" si="41">A243+1</f>
        <v>35</v>
      </c>
      <c r="B244" s="57">
        <f t="shared" si="41"/>
        <v>239</v>
      </c>
      <c r="C244" s="57">
        <f t="shared" si="36"/>
        <v>1998</v>
      </c>
      <c r="D244" s="57" t="s">
        <v>317</v>
      </c>
      <c r="E244" s="6"/>
      <c r="F244">
        <f t="shared" si="32"/>
        <v>1998.9166666666486</v>
      </c>
      <c r="G244" s="57">
        <f t="shared" si="33"/>
        <v>239</v>
      </c>
      <c r="H244" s="57">
        <f t="shared" si="37"/>
        <v>1998</v>
      </c>
      <c r="I244" s="57" t="s">
        <v>317</v>
      </c>
      <c r="K244">
        <f t="shared" si="34"/>
        <v>47</v>
      </c>
      <c r="L244">
        <f t="shared" si="34"/>
        <v>47</v>
      </c>
      <c r="M244">
        <f t="shared" si="35"/>
        <v>57359</v>
      </c>
      <c r="S244">
        <f t="shared" si="39"/>
        <v>239</v>
      </c>
    </row>
    <row r="245" spans="1:19" x14ac:dyDescent="0.4">
      <c r="A245">
        <f t="shared" si="41"/>
        <v>36</v>
      </c>
      <c r="B245" s="57">
        <f t="shared" si="41"/>
        <v>240</v>
      </c>
      <c r="C245" s="57">
        <f t="shared" si="36"/>
        <v>1998</v>
      </c>
      <c r="D245" s="57" t="s">
        <v>319</v>
      </c>
      <c r="E245" s="6"/>
      <c r="F245">
        <f t="shared" si="32"/>
        <v>1998.9999999999818</v>
      </c>
      <c r="G245" s="101">
        <f t="shared" si="33"/>
        <v>240</v>
      </c>
      <c r="H245" s="101">
        <f t="shared" si="37"/>
        <v>1998</v>
      </c>
      <c r="I245" s="101" t="s">
        <v>319</v>
      </c>
      <c r="K245" s="42">
        <f t="shared" si="34"/>
        <v>48</v>
      </c>
      <c r="L245" s="42">
        <f t="shared" si="34"/>
        <v>48</v>
      </c>
      <c r="M245">
        <f t="shared" si="35"/>
        <v>57600</v>
      </c>
      <c r="O245" s="92"/>
      <c r="P245" s="42">
        <f>P233+1</f>
        <v>9</v>
      </c>
      <c r="Q245" s="42"/>
      <c r="S245" s="100">
        <f t="shared" si="39"/>
        <v>240</v>
      </c>
    </row>
    <row r="246" spans="1:19" x14ac:dyDescent="0.4">
      <c r="A246">
        <f t="shared" si="41"/>
        <v>37</v>
      </c>
      <c r="B246" s="57">
        <f t="shared" si="41"/>
        <v>241</v>
      </c>
      <c r="C246" s="57">
        <f t="shared" si="36"/>
        <v>1999</v>
      </c>
      <c r="D246" s="57" t="s">
        <v>306</v>
      </c>
      <c r="F246">
        <f t="shared" si="32"/>
        <v>1999.0833333333151</v>
      </c>
      <c r="G246" s="57">
        <f t="shared" si="33"/>
        <v>241</v>
      </c>
      <c r="H246" s="57">
        <f t="shared" si="37"/>
        <v>1999</v>
      </c>
      <c r="I246" s="57" t="s">
        <v>306</v>
      </c>
      <c r="K246">
        <f t="shared" si="34"/>
        <v>49</v>
      </c>
      <c r="L246">
        <f t="shared" si="34"/>
        <v>49</v>
      </c>
      <c r="M246">
        <f t="shared" si="35"/>
        <v>57841</v>
      </c>
      <c r="S246" s="100">
        <f t="shared" si="39"/>
        <v>241</v>
      </c>
    </row>
    <row r="247" spans="1:19" x14ac:dyDescent="0.4">
      <c r="A247">
        <f t="shared" si="41"/>
        <v>38</v>
      </c>
      <c r="B247" s="57">
        <f t="shared" si="41"/>
        <v>242</v>
      </c>
      <c r="C247" s="57">
        <f t="shared" si="36"/>
        <v>1999</v>
      </c>
      <c r="D247" s="57" t="s">
        <v>307</v>
      </c>
      <c r="F247">
        <f t="shared" si="32"/>
        <v>1999.1666666666483</v>
      </c>
      <c r="G247" s="57">
        <f t="shared" si="33"/>
        <v>242</v>
      </c>
      <c r="H247" s="57">
        <f t="shared" si="37"/>
        <v>1999</v>
      </c>
      <c r="I247" s="57" t="s">
        <v>307</v>
      </c>
      <c r="K247">
        <f t="shared" si="34"/>
        <v>50</v>
      </c>
      <c r="L247">
        <f t="shared" si="34"/>
        <v>50</v>
      </c>
      <c r="M247">
        <f t="shared" si="35"/>
        <v>58082</v>
      </c>
      <c r="S247">
        <f t="shared" si="39"/>
        <v>242</v>
      </c>
    </row>
    <row r="248" spans="1:19" x14ac:dyDescent="0.4">
      <c r="A248">
        <f t="shared" si="41"/>
        <v>39</v>
      </c>
      <c r="B248" s="57">
        <f t="shared" si="41"/>
        <v>243</v>
      </c>
      <c r="C248" s="57">
        <f t="shared" si="36"/>
        <v>1999</v>
      </c>
      <c r="D248" s="57" t="s">
        <v>308</v>
      </c>
      <c r="F248">
        <f t="shared" si="32"/>
        <v>1999.2499999999816</v>
      </c>
      <c r="G248" s="57">
        <f t="shared" si="33"/>
        <v>243</v>
      </c>
      <c r="H248" s="57">
        <f t="shared" si="37"/>
        <v>1999</v>
      </c>
      <c r="I248" s="57" t="s">
        <v>308</v>
      </c>
      <c r="K248">
        <f t="shared" si="34"/>
        <v>51</v>
      </c>
      <c r="L248">
        <f t="shared" si="34"/>
        <v>51</v>
      </c>
      <c r="M248">
        <f t="shared" si="35"/>
        <v>58323</v>
      </c>
      <c r="S248">
        <f t="shared" si="39"/>
        <v>243</v>
      </c>
    </row>
    <row r="249" spans="1:19" x14ac:dyDescent="0.4">
      <c r="A249">
        <f t="shared" si="41"/>
        <v>40</v>
      </c>
      <c r="B249" s="57">
        <f t="shared" si="41"/>
        <v>244</v>
      </c>
      <c r="C249" s="57">
        <f t="shared" si="36"/>
        <v>1999</v>
      </c>
      <c r="D249" s="57" t="s">
        <v>309</v>
      </c>
      <c r="F249">
        <f t="shared" si="32"/>
        <v>1999.3333333333148</v>
      </c>
      <c r="G249" s="57">
        <f t="shared" si="33"/>
        <v>244</v>
      </c>
      <c r="H249" s="57">
        <f t="shared" si="37"/>
        <v>1999</v>
      </c>
      <c r="I249" s="57" t="s">
        <v>309</v>
      </c>
      <c r="K249">
        <f t="shared" si="34"/>
        <v>52</v>
      </c>
      <c r="L249">
        <f t="shared" si="34"/>
        <v>52</v>
      </c>
      <c r="M249">
        <f t="shared" si="35"/>
        <v>58564</v>
      </c>
      <c r="S249">
        <f t="shared" si="39"/>
        <v>244</v>
      </c>
    </row>
    <row r="250" spans="1:19" x14ac:dyDescent="0.4">
      <c r="A250">
        <f t="shared" si="41"/>
        <v>41</v>
      </c>
      <c r="B250" s="57">
        <f t="shared" si="41"/>
        <v>245</v>
      </c>
      <c r="C250" s="57">
        <f t="shared" si="36"/>
        <v>1999</v>
      </c>
      <c r="D250" s="57" t="s">
        <v>310</v>
      </c>
      <c r="F250">
        <f t="shared" si="32"/>
        <v>1999.4166666666481</v>
      </c>
      <c r="G250" s="57">
        <f t="shared" si="33"/>
        <v>245</v>
      </c>
      <c r="H250" s="57">
        <f t="shared" si="37"/>
        <v>1999</v>
      </c>
      <c r="I250" s="57" t="s">
        <v>310</v>
      </c>
      <c r="K250">
        <f t="shared" si="34"/>
        <v>53</v>
      </c>
      <c r="L250">
        <f t="shared" si="34"/>
        <v>53</v>
      </c>
      <c r="M250">
        <f t="shared" si="35"/>
        <v>58805</v>
      </c>
      <c r="S250">
        <f t="shared" si="39"/>
        <v>245</v>
      </c>
    </row>
    <row r="251" spans="1:19" x14ac:dyDescent="0.4">
      <c r="A251">
        <f t="shared" si="41"/>
        <v>42</v>
      </c>
      <c r="B251" s="57">
        <f t="shared" si="41"/>
        <v>246</v>
      </c>
      <c r="C251" s="57">
        <f t="shared" si="36"/>
        <v>1999</v>
      </c>
      <c r="D251" s="57" t="s">
        <v>311</v>
      </c>
      <c r="F251">
        <f t="shared" si="32"/>
        <v>1999.4999999999814</v>
      </c>
      <c r="G251" s="57">
        <f t="shared" si="33"/>
        <v>246</v>
      </c>
      <c r="H251" s="57">
        <f t="shared" si="37"/>
        <v>1999</v>
      </c>
      <c r="I251" s="57" t="s">
        <v>311</v>
      </c>
      <c r="K251">
        <f t="shared" si="34"/>
        <v>54</v>
      </c>
      <c r="L251">
        <f t="shared" si="34"/>
        <v>54</v>
      </c>
      <c r="M251">
        <f t="shared" si="35"/>
        <v>59046</v>
      </c>
      <c r="S251">
        <f t="shared" si="39"/>
        <v>246</v>
      </c>
    </row>
    <row r="252" spans="1:19" x14ac:dyDescent="0.4">
      <c r="A252">
        <f t="shared" si="41"/>
        <v>43</v>
      </c>
      <c r="B252" s="57">
        <f t="shared" si="41"/>
        <v>247</v>
      </c>
      <c r="C252" s="57">
        <f t="shared" si="36"/>
        <v>1999</v>
      </c>
      <c r="D252" s="57" t="s">
        <v>312</v>
      </c>
      <c r="F252">
        <f t="shared" si="32"/>
        <v>1999.5833333333146</v>
      </c>
      <c r="G252" s="57">
        <f t="shared" si="33"/>
        <v>247</v>
      </c>
      <c r="H252" s="57">
        <f t="shared" si="37"/>
        <v>1999</v>
      </c>
      <c r="I252" s="57" t="s">
        <v>312</v>
      </c>
      <c r="K252">
        <f t="shared" si="34"/>
        <v>55</v>
      </c>
      <c r="L252">
        <f t="shared" si="34"/>
        <v>55</v>
      </c>
      <c r="M252">
        <f t="shared" si="35"/>
        <v>59287</v>
      </c>
      <c r="O252" s="90">
        <f>G252</f>
        <v>247</v>
      </c>
      <c r="S252">
        <f t="shared" si="39"/>
        <v>247</v>
      </c>
    </row>
    <row r="253" spans="1:19" x14ac:dyDescent="0.4">
      <c r="A253">
        <f t="shared" si="41"/>
        <v>44</v>
      </c>
      <c r="B253" s="57">
        <f t="shared" si="41"/>
        <v>248</v>
      </c>
      <c r="C253" s="57">
        <f t="shared" si="36"/>
        <v>1999</v>
      </c>
      <c r="D253" s="57" t="s">
        <v>313</v>
      </c>
      <c r="F253">
        <f t="shared" si="32"/>
        <v>1999.6666666666479</v>
      </c>
      <c r="G253" s="57">
        <f t="shared" si="33"/>
        <v>248</v>
      </c>
      <c r="H253" s="57">
        <f t="shared" si="37"/>
        <v>1999</v>
      </c>
      <c r="I253" s="57" t="s">
        <v>313</v>
      </c>
      <c r="K253">
        <f t="shared" si="34"/>
        <v>56</v>
      </c>
      <c r="L253">
        <f t="shared" si="34"/>
        <v>56</v>
      </c>
      <c r="M253">
        <f t="shared" si="35"/>
        <v>59528</v>
      </c>
      <c r="S253">
        <f t="shared" si="39"/>
        <v>248</v>
      </c>
    </row>
    <row r="254" spans="1:19" x14ac:dyDescent="0.4">
      <c r="A254">
        <f t="shared" si="41"/>
        <v>45</v>
      </c>
      <c r="B254" s="57">
        <f t="shared" si="41"/>
        <v>249</v>
      </c>
      <c r="C254" s="57">
        <f t="shared" si="36"/>
        <v>1999</v>
      </c>
      <c r="D254" s="57" t="s">
        <v>314</v>
      </c>
      <c r="F254">
        <f t="shared" si="32"/>
        <v>1999.7499999999811</v>
      </c>
      <c r="G254" s="57">
        <f t="shared" si="33"/>
        <v>249</v>
      </c>
      <c r="H254" s="57">
        <f t="shared" si="37"/>
        <v>1999</v>
      </c>
      <c r="I254" s="57" t="s">
        <v>314</v>
      </c>
      <c r="K254">
        <f t="shared" si="34"/>
        <v>57</v>
      </c>
      <c r="L254">
        <f t="shared" si="34"/>
        <v>57</v>
      </c>
      <c r="M254">
        <f t="shared" si="35"/>
        <v>59769</v>
      </c>
      <c r="S254">
        <f t="shared" si="39"/>
        <v>249</v>
      </c>
    </row>
    <row r="255" spans="1:19" x14ac:dyDescent="0.4">
      <c r="A255">
        <f t="shared" si="41"/>
        <v>46</v>
      </c>
      <c r="B255" s="57">
        <f t="shared" si="41"/>
        <v>250</v>
      </c>
      <c r="C255" s="57">
        <f t="shared" si="36"/>
        <v>1999</v>
      </c>
      <c r="D255" s="57" t="s">
        <v>316</v>
      </c>
      <c r="F255">
        <f t="shared" si="32"/>
        <v>1999.8333333333144</v>
      </c>
      <c r="G255" s="57">
        <f t="shared" si="33"/>
        <v>250</v>
      </c>
      <c r="H255" s="57">
        <f t="shared" si="37"/>
        <v>1999</v>
      </c>
      <c r="I255" s="57" t="s">
        <v>316</v>
      </c>
      <c r="K255">
        <f t="shared" si="34"/>
        <v>58</v>
      </c>
      <c r="L255">
        <f t="shared" si="34"/>
        <v>58</v>
      </c>
      <c r="M255">
        <f t="shared" si="35"/>
        <v>60010</v>
      </c>
      <c r="S255">
        <f t="shared" si="39"/>
        <v>250</v>
      </c>
    </row>
    <row r="256" spans="1:19" x14ac:dyDescent="0.4">
      <c r="A256">
        <f t="shared" si="41"/>
        <v>47</v>
      </c>
      <c r="B256" s="57">
        <f t="shared" si="41"/>
        <v>251</v>
      </c>
      <c r="C256" s="57">
        <f t="shared" si="36"/>
        <v>1999</v>
      </c>
      <c r="D256" s="57" t="s">
        <v>317</v>
      </c>
      <c r="F256">
        <f t="shared" si="32"/>
        <v>1999.9166666666476</v>
      </c>
      <c r="G256" s="57">
        <f t="shared" si="33"/>
        <v>251</v>
      </c>
      <c r="H256" s="57">
        <f t="shared" si="37"/>
        <v>1999</v>
      </c>
      <c r="I256" s="57" t="s">
        <v>317</v>
      </c>
      <c r="K256">
        <f t="shared" si="34"/>
        <v>59</v>
      </c>
      <c r="L256">
        <f t="shared" si="34"/>
        <v>59</v>
      </c>
      <c r="M256">
        <f t="shared" si="35"/>
        <v>60251</v>
      </c>
      <c r="S256">
        <f t="shared" si="39"/>
        <v>251</v>
      </c>
    </row>
    <row r="257" spans="1:20" x14ac:dyDescent="0.4">
      <c r="A257">
        <f t="shared" si="41"/>
        <v>48</v>
      </c>
      <c r="B257" s="57">
        <f t="shared" si="41"/>
        <v>252</v>
      </c>
      <c r="C257" s="57">
        <f t="shared" si="36"/>
        <v>1999</v>
      </c>
      <c r="D257" s="57" t="s">
        <v>319</v>
      </c>
      <c r="F257">
        <f t="shared" si="32"/>
        <v>1999.9999999999809</v>
      </c>
      <c r="G257" s="91">
        <f t="shared" si="33"/>
        <v>252</v>
      </c>
      <c r="H257" s="91">
        <f t="shared" si="37"/>
        <v>1999</v>
      </c>
      <c r="I257" s="91" t="s">
        <v>319</v>
      </c>
      <c r="K257" s="42">
        <f t="shared" si="34"/>
        <v>60</v>
      </c>
      <c r="L257" s="42">
        <f t="shared" si="34"/>
        <v>60</v>
      </c>
      <c r="M257">
        <f t="shared" si="35"/>
        <v>60492</v>
      </c>
      <c r="O257" s="92"/>
      <c r="P257" s="42">
        <f>P245+1</f>
        <v>10</v>
      </c>
      <c r="Q257" s="42"/>
      <c r="S257" s="100">
        <f t="shared" si="39"/>
        <v>252</v>
      </c>
    </row>
    <row r="258" spans="1:20" x14ac:dyDescent="0.4">
      <c r="A258">
        <f t="shared" si="41"/>
        <v>49</v>
      </c>
      <c r="B258" s="88">
        <f t="shared" si="41"/>
        <v>253</v>
      </c>
      <c r="C258" s="88">
        <f t="shared" si="36"/>
        <v>2000</v>
      </c>
      <c r="D258" s="88" t="s">
        <v>306</v>
      </c>
      <c r="E258">
        <v>1</v>
      </c>
      <c r="F258">
        <f t="shared" si="32"/>
        <v>2000.0833333333142</v>
      </c>
      <c r="G258" s="88">
        <f t="shared" si="33"/>
        <v>253</v>
      </c>
      <c r="H258" s="88">
        <f t="shared" si="37"/>
        <v>2000</v>
      </c>
      <c r="I258" s="88" t="s">
        <v>306</v>
      </c>
      <c r="K258">
        <v>1</v>
      </c>
      <c r="L258">
        <v>1</v>
      </c>
      <c r="M258">
        <f t="shared" si="35"/>
        <v>60733</v>
      </c>
      <c r="S258" s="100">
        <f t="shared" si="39"/>
        <v>253</v>
      </c>
      <c r="T258" t="s">
        <v>325</v>
      </c>
    </row>
    <row r="259" spans="1:20" x14ac:dyDescent="0.4">
      <c r="A259">
        <f t="shared" si="41"/>
        <v>50</v>
      </c>
      <c r="B259" s="88">
        <f t="shared" si="41"/>
        <v>254</v>
      </c>
      <c r="C259" s="88">
        <f t="shared" si="36"/>
        <v>2000</v>
      </c>
      <c r="D259" s="88" t="s">
        <v>307</v>
      </c>
      <c r="E259">
        <f>E258+1</f>
        <v>2</v>
      </c>
      <c r="F259">
        <f t="shared" si="32"/>
        <v>2000.1666666666474</v>
      </c>
      <c r="G259" s="88">
        <f t="shared" si="33"/>
        <v>254</v>
      </c>
      <c r="H259" s="88">
        <f t="shared" si="37"/>
        <v>2000</v>
      </c>
      <c r="I259" s="88" t="s">
        <v>307</v>
      </c>
      <c r="K259">
        <f>K258+1</f>
        <v>2</v>
      </c>
      <c r="L259">
        <f>L258+1</f>
        <v>2</v>
      </c>
      <c r="M259">
        <f t="shared" si="35"/>
        <v>60974</v>
      </c>
      <c r="S259">
        <f t="shared" si="39"/>
        <v>254</v>
      </c>
    </row>
    <row r="260" spans="1:20" x14ac:dyDescent="0.4">
      <c r="A260">
        <f t="shared" ref="A260:B275" si="42">A259+1</f>
        <v>51</v>
      </c>
      <c r="B260" s="88">
        <f t="shared" si="42"/>
        <v>255</v>
      </c>
      <c r="C260" s="88">
        <f t="shared" si="36"/>
        <v>2000</v>
      </c>
      <c r="D260" s="88" t="s">
        <v>308</v>
      </c>
      <c r="E260">
        <f t="shared" ref="E260:E317" si="43">E259+1</f>
        <v>3</v>
      </c>
      <c r="F260">
        <f t="shared" si="32"/>
        <v>2000.2499999999807</v>
      </c>
      <c r="G260" s="88">
        <f t="shared" si="33"/>
        <v>255</v>
      </c>
      <c r="H260" s="88">
        <f t="shared" si="37"/>
        <v>2000</v>
      </c>
      <c r="I260" s="88" t="s">
        <v>308</v>
      </c>
      <c r="K260">
        <f t="shared" ref="K260:L317" si="44">K259+1</f>
        <v>3</v>
      </c>
      <c r="L260">
        <f t="shared" si="44"/>
        <v>3</v>
      </c>
      <c r="M260">
        <f t="shared" si="35"/>
        <v>61215</v>
      </c>
      <c r="S260">
        <f t="shared" si="39"/>
        <v>255</v>
      </c>
    </row>
    <row r="261" spans="1:20" x14ac:dyDescent="0.4">
      <c r="A261">
        <f t="shared" si="42"/>
        <v>52</v>
      </c>
      <c r="B261" s="88">
        <f t="shared" si="42"/>
        <v>256</v>
      </c>
      <c r="C261" s="88">
        <f t="shared" si="36"/>
        <v>2000</v>
      </c>
      <c r="D261" s="88" t="s">
        <v>309</v>
      </c>
      <c r="E261">
        <f t="shared" si="43"/>
        <v>4</v>
      </c>
      <c r="F261">
        <f t="shared" si="32"/>
        <v>2000.3333333333139</v>
      </c>
      <c r="G261" s="88">
        <f t="shared" si="33"/>
        <v>256</v>
      </c>
      <c r="H261" s="88">
        <f t="shared" si="37"/>
        <v>2000</v>
      </c>
      <c r="I261" s="88" t="s">
        <v>309</v>
      </c>
      <c r="K261">
        <f t="shared" si="44"/>
        <v>4</v>
      </c>
      <c r="L261">
        <f t="shared" si="44"/>
        <v>4</v>
      </c>
      <c r="M261">
        <f t="shared" si="35"/>
        <v>61456</v>
      </c>
      <c r="S261">
        <f t="shared" si="39"/>
        <v>256</v>
      </c>
    </row>
    <row r="262" spans="1:20" x14ac:dyDescent="0.4">
      <c r="A262">
        <f t="shared" si="42"/>
        <v>53</v>
      </c>
      <c r="B262" s="88">
        <f t="shared" si="42"/>
        <v>257</v>
      </c>
      <c r="C262" s="88">
        <f t="shared" si="36"/>
        <v>2000</v>
      </c>
      <c r="D262" s="88" t="s">
        <v>310</v>
      </c>
      <c r="E262">
        <f t="shared" si="43"/>
        <v>5</v>
      </c>
      <c r="F262">
        <f t="shared" si="32"/>
        <v>2000.4166666666472</v>
      </c>
      <c r="G262" s="88">
        <f t="shared" si="33"/>
        <v>257</v>
      </c>
      <c r="H262" s="88">
        <f t="shared" si="37"/>
        <v>2000</v>
      </c>
      <c r="I262" s="88" t="s">
        <v>310</v>
      </c>
      <c r="K262">
        <f t="shared" si="44"/>
        <v>5</v>
      </c>
      <c r="L262">
        <f t="shared" si="44"/>
        <v>5</v>
      </c>
      <c r="M262">
        <f t="shared" si="35"/>
        <v>61697</v>
      </c>
      <c r="S262">
        <f t="shared" si="39"/>
        <v>257</v>
      </c>
    </row>
    <row r="263" spans="1:20" x14ac:dyDescent="0.4">
      <c r="A263">
        <f t="shared" si="42"/>
        <v>54</v>
      </c>
      <c r="B263" s="88">
        <f t="shared" si="42"/>
        <v>258</v>
      </c>
      <c r="C263" s="88">
        <f t="shared" si="36"/>
        <v>2000</v>
      </c>
      <c r="D263" s="88" t="s">
        <v>311</v>
      </c>
      <c r="E263">
        <f t="shared" si="43"/>
        <v>6</v>
      </c>
      <c r="F263">
        <f t="shared" si="32"/>
        <v>2000.4999999999804</v>
      </c>
      <c r="G263" s="88">
        <f t="shared" si="33"/>
        <v>258</v>
      </c>
      <c r="H263" s="88">
        <f t="shared" si="37"/>
        <v>2000</v>
      </c>
      <c r="I263" s="88" t="s">
        <v>311</v>
      </c>
      <c r="K263">
        <f t="shared" si="44"/>
        <v>6</v>
      </c>
      <c r="L263">
        <f t="shared" si="44"/>
        <v>6</v>
      </c>
      <c r="M263">
        <f t="shared" si="35"/>
        <v>61938</v>
      </c>
      <c r="S263">
        <f t="shared" si="39"/>
        <v>258</v>
      </c>
    </row>
    <row r="264" spans="1:20" x14ac:dyDescent="0.4">
      <c r="A264">
        <f t="shared" si="42"/>
        <v>55</v>
      </c>
      <c r="B264" s="88">
        <f t="shared" si="42"/>
        <v>259</v>
      </c>
      <c r="C264" s="88">
        <f t="shared" si="36"/>
        <v>2000</v>
      </c>
      <c r="D264" s="88" t="s">
        <v>312</v>
      </c>
      <c r="E264">
        <f t="shared" si="43"/>
        <v>7</v>
      </c>
      <c r="F264">
        <f t="shared" ref="F264:F327" si="45">F263+1/12</f>
        <v>2000.5833333333137</v>
      </c>
      <c r="G264" s="88">
        <f t="shared" ref="G264:G327" si="46">G263+1</f>
        <v>259</v>
      </c>
      <c r="H264" s="88">
        <f t="shared" si="37"/>
        <v>2000</v>
      </c>
      <c r="I264" s="88" t="s">
        <v>312</v>
      </c>
      <c r="K264">
        <f t="shared" si="44"/>
        <v>7</v>
      </c>
      <c r="L264">
        <f t="shared" si="44"/>
        <v>7</v>
      </c>
      <c r="M264">
        <f t="shared" ref="M264:M327" si="47">M263+241</f>
        <v>62179</v>
      </c>
      <c r="O264" s="84">
        <f>G264</f>
        <v>259</v>
      </c>
      <c r="S264">
        <f t="shared" si="39"/>
        <v>259</v>
      </c>
    </row>
    <row r="265" spans="1:20" x14ac:dyDescent="0.4">
      <c r="A265">
        <f t="shared" si="42"/>
        <v>56</v>
      </c>
      <c r="B265" s="88">
        <f t="shared" si="42"/>
        <v>260</v>
      </c>
      <c r="C265" s="88">
        <f t="shared" si="36"/>
        <v>2000</v>
      </c>
      <c r="D265" s="88" t="s">
        <v>313</v>
      </c>
      <c r="E265">
        <f t="shared" si="43"/>
        <v>8</v>
      </c>
      <c r="F265">
        <f t="shared" si="45"/>
        <v>2000.666666666647</v>
      </c>
      <c r="G265" s="88">
        <f t="shared" si="46"/>
        <v>260</v>
      </c>
      <c r="H265" s="88">
        <f t="shared" si="37"/>
        <v>2000</v>
      </c>
      <c r="I265" s="88" t="s">
        <v>313</v>
      </c>
      <c r="K265">
        <f t="shared" si="44"/>
        <v>8</v>
      </c>
      <c r="L265">
        <f t="shared" si="44"/>
        <v>8</v>
      </c>
      <c r="M265">
        <f t="shared" si="47"/>
        <v>62420</v>
      </c>
      <c r="S265">
        <f t="shared" si="39"/>
        <v>260</v>
      </c>
    </row>
    <row r="266" spans="1:20" x14ac:dyDescent="0.4">
      <c r="A266">
        <f t="shared" si="42"/>
        <v>57</v>
      </c>
      <c r="B266" s="88">
        <f t="shared" si="42"/>
        <v>261</v>
      </c>
      <c r="C266" s="88">
        <f t="shared" si="36"/>
        <v>2000</v>
      </c>
      <c r="D266" s="88" t="s">
        <v>314</v>
      </c>
      <c r="E266">
        <f t="shared" si="43"/>
        <v>9</v>
      </c>
      <c r="F266">
        <f t="shared" si="45"/>
        <v>2000.7499999999802</v>
      </c>
      <c r="G266" s="88">
        <f t="shared" si="46"/>
        <v>261</v>
      </c>
      <c r="H266" s="88">
        <f t="shared" si="37"/>
        <v>2000</v>
      </c>
      <c r="I266" s="88" t="s">
        <v>314</v>
      </c>
      <c r="K266">
        <f t="shared" si="44"/>
        <v>9</v>
      </c>
      <c r="L266">
        <f t="shared" si="44"/>
        <v>9</v>
      </c>
      <c r="M266">
        <f t="shared" si="47"/>
        <v>62661</v>
      </c>
      <c r="S266">
        <f t="shared" si="39"/>
        <v>261</v>
      </c>
    </row>
    <row r="267" spans="1:20" x14ac:dyDescent="0.4">
      <c r="A267">
        <f t="shared" si="42"/>
        <v>58</v>
      </c>
      <c r="B267" s="88">
        <f t="shared" si="42"/>
        <v>262</v>
      </c>
      <c r="C267" s="88">
        <f t="shared" si="36"/>
        <v>2000</v>
      </c>
      <c r="D267" s="88" t="s">
        <v>316</v>
      </c>
      <c r="E267">
        <f t="shared" si="43"/>
        <v>10</v>
      </c>
      <c r="F267">
        <f t="shared" si="45"/>
        <v>2000.8333333333135</v>
      </c>
      <c r="G267" s="88">
        <f t="shared" si="46"/>
        <v>262</v>
      </c>
      <c r="H267" s="88">
        <f t="shared" si="37"/>
        <v>2000</v>
      </c>
      <c r="I267" s="88" t="s">
        <v>316</v>
      </c>
      <c r="K267">
        <f t="shared" si="44"/>
        <v>10</v>
      </c>
      <c r="L267">
        <f t="shared" si="44"/>
        <v>10</v>
      </c>
      <c r="M267">
        <f t="shared" si="47"/>
        <v>62902</v>
      </c>
      <c r="S267">
        <f t="shared" si="39"/>
        <v>262</v>
      </c>
    </row>
    <row r="268" spans="1:20" x14ac:dyDescent="0.4">
      <c r="A268">
        <f t="shared" si="42"/>
        <v>59</v>
      </c>
      <c r="B268" s="88">
        <f t="shared" si="42"/>
        <v>263</v>
      </c>
      <c r="C268" s="88">
        <f t="shared" si="36"/>
        <v>2000</v>
      </c>
      <c r="D268" s="88" t="s">
        <v>317</v>
      </c>
      <c r="E268">
        <f t="shared" si="43"/>
        <v>11</v>
      </c>
      <c r="F268">
        <f t="shared" si="45"/>
        <v>2000.9166666666467</v>
      </c>
      <c r="G268" s="88">
        <f t="shared" si="46"/>
        <v>263</v>
      </c>
      <c r="H268" s="88">
        <f t="shared" si="37"/>
        <v>2000</v>
      </c>
      <c r="I268" s="88" t="s">
        <v>317</v>
      </c>
      <c r="K268">
        <f t="shared" si="44"/>
        <v>11</v>
      </c>
      <c r="L268">
        <f t="shared" si="44"/>
        <v>11</v>
      </c>
      <c r="M268">
        <f t="shared" si="47"/>
        <v>63143</v>
      </c>
      <c r="S268">
        <f t="shared" si="39"/>
        <v>263</v>
      </c>
    </row>
    <row r="269" spans="1:20" x14ac:dyDescent="0.4">
      <c r="A269">
        <f t="shared" si="42"/>
        <v>60</v>
      </c>
      <c r="B269" s="102">
        <f t="shared" si="42"/>
        <v>264</v>
      </c>
      <c r="C269" s="88">
        <f t="shared" si="36"/>
        <v>2000</v>
      </c>
      <c r="D269" s="88" t="s">
        <v>319</v>
      </c>
      <c r="E269">
        <f t="shared" si="43"/>
        <v>12</v>
      </c>
      <c r="F269">
        <f t="shared" si="45"/>
        <v>2000.99999999998</v>
      </c>
      <c r="G269" s="103">
        <f t="shared" si="46"/>
        <v>264</v>
      </c>
      <c r="H269" s="104">
        <f t="shared" si="37"/>
        <v>2000</v>
      </c>
      <c r="I269" s="104" t="s">
        <v>319</v>
      </c>
      <c r="K269" s="42">
        <f t="shared" si="44"/>
        <v>12</v>
      </c>
      <c r="L269" s="42">
        <f t="shared" si="44"/>
        <v>12</v>
      </c>
      <c r="M269">
        <f t="shared" si="47"/>
        <v>63384</v>
      </c>
      <c r="O269" s="92"/>
      <c r="P269" s="42">
        <f>P257+1</f>
        <v>11</v>
      </c>
      <c r="Q269" s="42"/>
      <c r="S269" s="100">
        <f t="shared" si="39"/>
        <v>264</v>
      </c>
    </row>
    <row r="270" spans="1:20" x14ac:dyDescent="0.4">
      <c r="A270">
        <v>1</v>
      </c>
      <c r="B270" s="6">
        <f t="shared" si="42"/>
        <v>265</v>
      </c>
      <c r="C270" s="57">
        <f t="shared" si="36"/>
        <v>2001</v>
      </c>
      <c r="D270" s="57" t="s">
        <v>306</v>
      </c>
      <c r="E270">
        <f t="shared" si="43"/>
        <v>13</v>
      </c>
      <c r="F270">
        <f t="shared" si="45"/>
        <v>2001.0833333333132</v>
      </c>
      <c r="G270" s="6">
        <f t="shared" si="46"/>
        <v>265</v>
      </c>
      <c r="H270" s="57">
        <f t="shared" si="37"/>
        <v>2001</v>
      </c>
      <c r="I270" s="57" t="s">
        <v>306</v>
      </c>
      <c r="K270">
        <f t="shared" si="44"/>
        <v>13</v>
      </c>
      <c r="L270">
        <f t="shared" si="44"/>
        <v>13</v>
      </c>
      <c r="M270">
        <f t="shared" si="47"/>
        <v>63625</v>
      </c>
      <c r="S270" s="100">
        <f t="shared" si="39"/>
        <v>265</v>
      </c>
    </row>
    <row r="271" spans="1:20" x14ac:dyDescent="0.4">
      <c r="A271">
        <f>A270+1</f>
        <v>2</v>
      </c>
      <c r="B271" s="6">
        <f t="shared" si="42"/>
        <v>266</v>
      </c>
      <c r="C271" s="57">
        <f t="shared" si="36"/>
        <v>2001</v>
      </c>
      <c r="D271" s="57" t="s">
        <v>307</v>
      </c>
      <c r="E271">
        <f t="shared" si="43"/>
        <v>14</v>
      </c>
      <c r="F271">
        <f t="shared" si="45"/>
        <v>2001.1666666666465</v>
      </c>
      <c r="G271" s="6">
        <f t="shared" si="46"/>
        <v>266</v>
      </c>
      <c r="H271" s="57">
        <f t="shared" si="37"/>
        <v>2001</v>
      </c>
      <c r="I271" s="57" t="s">
        <v>307</v>
      </c>
      <c r="K271">
        <f t="shared" si="44"/>
        <v>14</v>
      </c>
      <c r="L271">
        <f t="shared" si="44"/>
        <v>14</v>
      </c>
      <c r="M271">
        <f t="shared" si="47"/>
        <v>63866</v>
      </c>
      <c r="S271">
        <f t="shared" si="39"/>
        <v>266</v>
      </c>
    </row>
    <row r="272" spans="1:20" x14ac:dyDescent="0.4">
      <c r="A272">
        <f t="shared" ref="A272:B287" si="48">A271+1</f>
        <v>3</v>
      </c>
      <c r="B272" s="6">
        <f t="shared" si="42"/>
        <v>267</v>
      </c>
      <c r="C272" s="57">
        <f t="shared" si="36"/>
        <v>2001</v>
      </c>
      <c r="D272" s="57" t="s">
        <v>308</v>
      </c>
      <c r="E272">
        <f t="shared" si="43"/>
        <v>15</v>
      </c>
      <c r="F272">
        <f t="shared" si="45"/>
        <v>2001.2499999999798</v>
      </c>
      <c r="G272" s="6">
        <f t="shared" si="46"/>
        <v>267</v>
      </c>
      <c r="H272" s="57">
        <f t="shared" si="37"/>
        <v>2001</v>
      </c>
      <c r="I272" s="57" t="s">
        <v>308</v>
      </c>
      <c r="K272">
        <f t="shared" si="44"/>
        <v>15</v>
      </c>
      <c r="L272">
        <f t="shared" si="44"/>
        <v>15</v>
      </c>
      <c r="M272">
        <f t="shared" si="47"/>
        <v>64107</v>
      </c>
      <c r="S272">
        <f t="shared" si="39"/>
        <v>267</v>
      </c>
    </row>
    <row r="273" spans="1:19" x14ac:dyDescent="0.4">
      <c r="A273">
        <f t="shared" si="48"/>
        <v>4</v>
      </c>
      <c r="B273" s="6">
        <f t="shared" si="42"/>
        <v>268</v>
      </c>
      <c r="C273" s="57">
        <f t="shared" si="36"/>
        <v>2001</v>
      </c>
      <c r="D273" s="57" t="s">
        <v>309</v>
      </c>
      <c r="E273">
        <f t="shared" si="43"/>
        <v>16</v>
      </c>
      <c r="F273">
        <f t="shared" si="45"/>
        <v>2001.333333333313</v>
      </c>
      <c r="G273" s="6">
        <f t="shared" si="46"/>
        <v>268</v>
      </c>
      <c r="H273" s="57">
        <f t="shared" si="37"/>
        <v>2001</v>
      </c>
      <c r="I273" s="57" t="s">
        <v>309</v>
      </c>
      <c r="K273">
        <f t="shared" si="44"/>
        <v>16</v>
      </c>
      <c r="L273">
        <f t="shared" si="44"/>
        <v>16</v>
      </c>
      <c r="M273">
        <f t="shared" si="47"/>
        <v>64348</v>
      </c>
      <c r="S273">
        <f t="shared" si="39"/>
        <v>268</v>
      </c>
    </row>
    <row r="274" spans="1:19" x14ac:dyDescent="0.4">
      <c r="A274">
        <f t="shared" si="48"/>
        <v>5</v>
      </c>
      <c r="B274" s="6">
        <f t="shared" si="42"/>
        <v>269</v>
      </c>
      <c r="C274" s="57">
        <f t="shared" si="36"/>
        <v>2001</v>
      </c>
      <c r="D274" s="57" t="s">
        <v>310</v>
      </c>
      <c r="E274">
        <f t="shared" si="43"/>
        <v>17</v>
      </c>
      <c r="F274">
        <f t="shared" si="45"/>
        <v>2001.4166666666463</v>
      </c>
      <c r="G274" s="6">
        <f t="shared" si="46"/>
        <v>269</v>
      </c>
      <c r="H274" s="57">
        <f t="shared" si="37"/>
        <v>2001</v>
      </c>
      <c r="I274" s="57" t="s">
        <v>310</v>
      </c>
      <c r="K274">
        <f t="shared" si="44"/>
        <v>17</v>
      </c>
      <c r="L274">
        <f t="shared" si="44"/>
        <v>17</v>
      </c>
      <c r="M274">
        <f t="shared" si="47"/>
        <v>64589</v>
      </c>
      <c r="S274">
        <f t="shared" si="39"/>
        <v>269</v>
      </c>
    </row>
    <row r="275" spans="1:19" x14ac:dyDescent="0.4">
      <c r="A275">
        <f t="shared" si="48"/>
        <v>6</v>
      </c>
      <c r="B275" s="6">
        <f t="shared" si="42"/>
        <v>270</v>
      </c>
      <c r="C275" s="57">
        <f t="shared" ref="C275:C338" si="49">C263+1</f>
        <v>2001</v>
      </c>
      <c r="D275" s="57" t="s">
        <v>311</v>
      </c>
      <c r="E275">
        <f t="shared" si="43"/>
        <v>18</v>
      </c>
      <c r="F275">
        <f t="shared" si="45"/>
        <v>2001.4999999999795</v>
      </c>
      <c r="G275" s="6">
        <f t="shared" si="46"/>
        <v>270</v>
      </c>
      <c r="H275" s="57">
        <f t="shared" ref="H275:H338" si="50">H263+1</f>
        <v>2001</v>
      </c>
      <c r="I275" s="57" t="s">
        <v>311</v>
      </c>
      <c r="K275">
        <f t="shared" si="44"/>
        <v>18</v>
      </c>
      <c r="L275">
        <f t="shared" si="44"/>
        <v>18</v>
      </c>
      <c r="M275">
        <f t="shared" si="47"/>
        <v>64830</v>
      </c>
      <c r="S275">
        <f t="shared" si="39"/>
        <v>270</v>
      </c>
    </row>
    <row r="276" spans="1:19" x14ac:dyDescent="0.4">
      <c r="A276">
        <f t="shared" si="48"/>
        <v>7</v>
      </c>
      <c r="B276" s="6">
        <f t="shared" si="48"/>
        <v>271</v>
      </c>
      <c r="C276" s="57">
        <f t="shared" si="49"/>
        <v>2001</v>
      </c>
      <c r="D276" s="57" t="s">
        <v>312</v>
      </c>
      <c r="E276">
        <f t="shared" si="43"/>
        <v>19</v>
      </c>
      <c r="F276">
        <f t="shared" si="45"/>
        <v>2001.5833333333128</v>
      </c>
      <c r="G276" s="6">
        <f t="shared" si="46"/>
        <v>271</v>
      </c>
      <c r="H276" s="57">
        <f t="shared" si="50"/>
        <v>2001</v>
      </c>
      <c r="I276" s="57" t="s">
        <v>312</v>
      </c>
      <c r="K276">
        <f t="shared" si="44"/>
        <v>19</v>
      </c>
      <c r="L276">
        <f t="shared" si="44"/>
        <v>19</v>
      </c>
      <c r="M276">
        <f t="shared" si="47"/>
        <v>65071</v>
      </c>
      <c r="S276">
        <f t="shared" ref="S276:S339" si="51">S275+1</f>
        <v>271</v>
      </c>
    </row>
    <row r="277" spans="1:19" x14ac:dyDescent="0.4">
      <c r="A277">
        <f t="shared" si="48"/>
        <v>8</v>
      </c>
      <c r="B277" s="6">
        <f t="shared" si="48"/>
        <v>272</v>
      </c>
      <c r="C277" s="57">
        <f t="shared" si="49"/>
        <v>2001</v>
      </c>
      <c r="D277" s="57" t="s">
        <v>313</v>
      </c>
      <c r="E277">
        <f t="shared" si="43"/>
        <v>20</v>
      </c>
      <c r="F277">
        <f t="shared" si="45"/>
        <v>2001.6666666666461</v>
      </c>
      <c r="G277" s="6">
        <f t="shared" si="46"/>
        <v>272</v>
      </c>
      <c r="H277" s="57">
        <f t="shared" si="50"/>
        <v>2001</v>
      </c>
      <c r="I277" s="57" t="s">
        <v>313</v>
      </c>
      <c r="K277">
        <f t="shared" si="44"/>
        <v>20</v>
      </c>
      <c r="L277">
        <f t="shared" si="44"/>
        <v>20</v>
      </c>
      <c r="M277">
        <f t="shared" si="47"/>
        <v>65312</v>
      </c>
      <c r="S277">
        <f t="shared" si="51"/>
        <v>272</v>
      </c>
    </row>
    <row r="278" spans="1:19" x14ac:dyDescent="0.4">
      <c r="A278">
        <f t="shared" si="48"/>
        <v>9</v>
      </c>
      <c r="B278" s="6">
        <f t="shared" si="48"/>
        <v>273</v>
      </c>
      <c r="C278" s="57">
        <f t="shared" si="49"/>
        <v>2001</v>
      </c>
      <c r="D278" s="57" t="s">
        <v>314</v>
      </c>
      <c r="E278">
        <f t="shared" si="43"/>
        <v>21</v>
      </c>
      <c r="F278">
        <f t="shared" si="45"/>
        <v>2001.7499999999793</v>
      </c>
      <c r="G278" s="6">
        <f t="shared" si="46"/>
        <v>273</v>
      </c>
      <c r="H278" s="57">
        <f t="shared" si="50"/>
        <v>2001</v>
      </c>
      <c r="I278" s="57" t="s">
        <v>314</v>
      </c>
      <c r="K278">
        <f t="shared" si="44"/>
        <v>21</v>
      </c>
      <c r="L278">
        <f t="shared" si="44"/>
        <v>21</v>
      </c>
      <c r="M278">
        <f t="shared" si="47"/>
        <v>65553</v>
      </c>
      <c r="S278">
        <f t="shared" si="51"/>
        <v>273</v>
      </c>
    </row>
    <row r="279" spans="1:19" x14ac:dyDescent="0.4">
      <c r="A279">
        <f t="shared" si="48"/>
        <v>10</v>
      </c>
      <c r="B279" s="6">
        <f t="shared" si="48"/>
        <v>274</v>
      </c>
      <c r="C279" s="57">
        <f t="shared" si="49"/>
        <v>2001</v>
      </c>
      <c r="D279" s="57" t="s">
        <v>316</v>
      </c>
      <c r="E279">
        <f t="shared" si="43"/>
        <v>22</v>
      </c>
      <c r="F279">
        <f t="shared" si="45"/>
        <v>2001.8333333333126</v>
      </c>
      <c r="G279" s="6">
        <f t="shared" si="46"/>
        <v>274</v>
      </c>
      <c r="H279" s="57">
        <f t="shared" si="50"/>
        <v>2001</v>
      </c>
      <c r="I279" s="57" t="s">
        <v>316</v>
      </c>
      <c r="K279">
        <f t="shared" si="44"/>
        <v>22</v>
      </c>
      <c r="L279">
        <f t="shared" si="44"/>
        <v>22</v>
      </c>
      <c r="M279">
        <f t="shared" si="47"/>
        <v>65794</v>
      </c>
      <c r="S279">
        <f t="shared" si="51"/>
        <v>274</v>
      </c>
    </row>
    <row r="280" spans="1:19" x14ac:dyDescent="0.4">
      <c r="A280">
        <f t="shared" si="48"/>
        <v>11</v>
      </c>
      <c r="B280" s="6">
        <f t="shared" si="48"/>
        <v>275</v>
      </c>
      <c r="C280" s="57">
        <f t="shared" si="49"/>
        <v>2001</v>
      </c>
      <c r="D280" s="57" t="s">
        <v>317</v>
      </c>
      <c r="E280">
        <f t="shared" si="43"/>
        <v>23</v>
      </c>
      <c r="F280">
        <f t="shared" si="45"/>
        <v>2001.9166666666458</v>
      </c>
      <c r="G280" s="6">
        <f t="shared" si="46"/>
        <v>275</v>
      </c>
      <c r="H280" s="57">
        <f t="shared" si="50"/>
        <v>2001</v>
      </c>
      <c r="I280" s="57" t="s">
        <v>317</v>
      </c>
      <c r="K280">
        <f t="shared" si="44"/>
        <v>23</v>
      </c>
      <c r="L280">
        <f t="shared" si="44"/>
        <v>23</v>
      </c>
      <c r="M280">
        <f t="shared" si="47"/>
        <v>66035</v>
      </c>
      <c r="S280">
        <f t="shared" si="51"/>
        <v>275</v>
      </c>
    </row>
    <row r="281" spans="1:19" x14ac:dyDescent="0.4">
      <c r="A281">
        <f t="shared" si="48"/>
        <v>12</v>
      </c>
      <c r="B281" s="6">
        <f t="shared" si="48"/>
        <v>276</v>
      </c>
      <c r="C281" s="57">
        <f t="shared" si="49"/>
        <v>2001</v>
      </c>
      <c r="D281" s="57" t="s">
        <v>319</v>
      </c>
      <c r="E281">
        <f t="shared" si="43"/>
        <v>24</v>
      </c>
      <c r="F281">
        <f t="shared" si="45"/>
        <v>2001.9999999999791</v>
      </c>
      <c r="G281" s="105">
        <f t="shared" si="46"/>
        <v>276</v>
      </c>
      <c r="H281" s="101">
        <f t="shared" si="50"/>
        <v>2001</v>
      </c>
      <c r="I281" s="101" t="s">
        <v>319</v>
      </c>
      <c r="K281" s="42">
        <f t="shared" si="44"/>
        <v>24</v>
      </c>
      <c r="L281" s="42">
        <f t="shared" si="44"/>
        <v>24</v>
      </c>
      <c r="M281">
        <f t="shared" si="47"/>
        <v>66276</v>
      </c>
      <c r="O281" s="92"/>
      <c r="P281" s="42">
        <v>1</v>
      </c>
      <c r="Q281" s="42"/>
      <c r="S281" s="100">
        <f t="shared" si="51"/>
        <v>276</v>
      </c>
    </row>
    <row r="282" spans="1:19" ht="18" x14ac:dyDescent="0.35">
      <c r="A282">
        <f t="shared" si="48"/>
        <v>13</v>
      </c>
      <c r="B282" s="57">
        <f t="shared" si="48"/>
        <v>277</v>
      </c>
      <c r="C282" s="57">
        <f t="shared" si="49"/>
        <v>2002</v>
      </c>
      <c r="D282" s="57" t="s">
        <v>306</v>
      </c>
      <c r="E282">
        <f t="shared" si="43"/>
        <v>25</v>
      </c>
      <c r="F282">
        <f t="shared" si="45"/>
        <v>2002.0833333333123</v>
      </c>
      <c r="G282" s="57">
        <f t="shared" si="46"/>
        <v>277</v>
      </c>
      <c r="H282" s="57">
        <f t="shared" si="50"/>
        <v>2002</v>
      </c>
      <c r="I282" s="57" t="s">
        <v>306</v>
      </c>
      <c r="K282">
        <f t="shared" si="44"/>
        <v>25</v>
      </c>
      <c r="L282">
        <f t="shared" si="44"/>
        <v>25</v>
      </c>
      <c r="M282">
        <f t="shared" si="47"/>
        <v>66517</v>
      </c>
      <c r="O282"/>
      <c r="S282" s="100">
        <f t="shared" si="51"/>
        <v>277</v>
      </c>
    </row>
    <row r="283" spans="1:19" x14ac:dyDescent="0.4">
      <c r="A283">
        <f t="shared" si="48"/>
        <v>14</v>
      </c>
      <c r="B283" s="57">
        <f t="shared" si="48"/>
        <v>278</v>
      </c>
      <c r="C283" s="57">
        <f t="shared" si="49"/>
        <v>2002</v>
      </c>
      <c r="D283" s="57" t="s">
        <v>307</v>
      </c>
      <c r="E283">
        <f t="shared" si="43"/>
        <v>26</v>
      </c>
      <c r="F283">
        <f t="shared" si="45"/>
        <v>2002.1666666666456</v>
      </c>
      <c r="G283" s="57">
        <f t="shared" si="46"/>
        <v>278</v>
      </c>
      <c r="H283" s="57">
        <f t="shared" si="50"/>
        <v>2002</v>
      </c>
      <c r="I283" s="57" t="s">
        <v>307</v>
      </c>
      <c r="K283">
        <f t="shared" si="44"/>
        <v>26</v>
      </c>
      <c r="L283">
        <f t="shared" si="44"/>
        <v>26</v>
      </c>
      <c r="M283">
        <f t="shared" si="47"/>
        <v>66758</v>
      </c>
      <c r="S283">
        <f t="shared" si="51"/>
        <v>278</v>
      </c>
    </row>
    <row r="284" spans="1:19" x14ac:dyDescent="0.4">
      <c r="A284">
        <f t="shared" si="48"/>
        <v>15</v>
      </c>
      <c r="B284" s="57">
        <f t="shared" si="48"/>
        <v>279</v>
      </c>
      <c r="C284" s="57">
        <f t="shared" si="49"/>
        <v>2002</v>
      </c>
      <c r="D284" s="57" t="s">
        <v>308</v>
      </c>
      <c r="E284">
        <f t="shared" si="43"/>
        <v>27</v>
      </c>
      <c r="F284">
        <f t="shared" si="45"/>
        <v>2002.2499999999789</v>
      </c>
      <c r="G284" s="57">
        <f t="shared" si="46"/>
        <v>279</v>
      </c>
      <c r="H284" s="57">
        <f t="shared" si="50"/>
        <v>2002</v>
      </c>
      <c r="I284" s="57" t="s">
        <v>308</v>
      </c>
      <c r="K284">
        <f t="shared" si="44"/>
        <v>27</v>
      </c>
      <c r="L284">
        <f t="shared" si="44"/>
        <v>27</v>
      </c>
      <c r="M284">
        <f t="shared" si="47"/>
        <v>66999</v>
      </c>
      <c r="S284">
        <f t="shared" si="51"/>
        <v>279</v>
      </c>
    </row>
    <row r="285" spans="1:19" x14ac:dyDescent="0.4">
      <c r="A285">
        <f t="shared" si="48"/>
        <v>16</v>
      </c>
      <c r="B285" s="57">
        <f t="shared" si="48"/>
        <v>280</v>
      </c>
      <c r="C285" s="57">
        <f t="shared" si="49"/>
        <v>2002</v>
      </c>
      <c r="D285" s="57" t="s">
        <v>309</v>
      </c>
      <c r="E285">
        <f t="shared" si="43"/>
        <v>28</v>
      </c>
      <c r="F285">
        <f t="shared" si="45"/>
        <v>2002.3333333333121</v>
      </c>
      <c r="G285" s="57">
        <f t="shared" si="46"/>
        <v>280</v>
      </c>
      <c r="H285" s="57">
        <f t="shared" si="50"/>
        <v>2002</v>
      </c>
      <c r="I285" s="57" t="s">
        <v>309</v>
      </c>
      <c r="K285">
        <f t="shared" si="44"/>
        <v>28</v>
      </c>
      <c r="L285">
        <f t="shared" si="44"/>
        <v>28</v>
      </c>
      <c r="M285">
        <f t="shared" si="47"/>
        <v>67240</v>
      </c>
      <c r="S285">
        <f t="shared" si="51"/>
        <v>280</v>
      </c>
    </row>
    <row r="286" spans="1:19" x14ac:dyDescent="0.4">
      <c r="A286">
        <f t="shared" si="48"/>
        <v>17</v>
      </c>
      <c r="B286" s="57">
        <f t="shared" si="48"/>
        <v>281</v>
      </c>
      <c r="C286" s="57">
        <f t="shared" si="49"/>
        <v>2002</v>
      </c>
      <c r="D286" s="57" t="s">
        <v>310</v>
      </c>
      <c r="E286">
        <f t="shared" si="43"/>
        <v>29</v>
      </c>
      <c r="F286">
        <f t="shared" si="45"/>
        <v>2002.4166666666454</v>
      </c>
      <c r="G286" s="57">
        <f t="shared" si="46"/>
        <v>281</v>
      </c>
      <c r="H286" s="57">
        <f t="shared" si="50"/>
        <v>2002</v>
      </c>
      <c r="I286" s="57" t="s">
        <v>310</v>
      </c>
      <c r="K286">
        <f t="shared" si="44"/>
        <v>29</v>
      </c>
      <c r="L286">
        <f t="shared" si="44"/>
        <v>29</v>
      </c>
      <c r="M286">
        <f t="shared" si="47"/>
        <v>67481</v>
      </c>
      <c r="S286">
        <f t="shared" si="51"/>
        <v>281</v>
      </c>
    </row>
    <row r="287" spans="1:19" x14ac:dyDescent="0.4">
      <c r="A287">
        <f t="shared" si="48"/>
        <v>18</v>
      </c>
      <c r="B287" s="57">
        <f t="shared" si="48"/>
        <v>282</v>
      </c>
      <c r="C287" s="57">
        <f t="shared" si="49"/>
        <v>2002</v>
      </c>
      <c r="D287" s="57" t="s">
        <v>311</v>
      </c>
      <c r="E287">
        <f t="shared" si="43"/>
        <v>30</v>
      </c>
      <c r="F287">
        <f t="shared" si="45"/>
        <v>2002.4999999999786</v>
      </c>
      <c r="G287" s="57">
        <f t="shared" si="46"/>
        <v>282</v>
      </c>
      <c r="H287" s="57">
        <f t="shared" si="50"/>
        <v>2002</v>
      </c>
      <c r="I287" s="57" t="s">
        <v>311</v>
      </c>
      <c r="K287">
        <f t="shared" si="44"/>
        <v>30</v>
      </c>
      <c r="L287">
        <f t="shared" si="44"/>
        <v>30</v>
      </c>
      <c r="M287">
        <f t="shared" si="47"/>
        <v>67722</v>
      </c>
      <c r="S287">
        <f t="shared" si="51"/>
        <v>282</v>
      </c>
    </row>
    <row r="288" spans="1:19" x14ac:dyDescent="0.4">
      <c r="A288">
        <f t="shared" ref="A288:B303" si="52">A287+1</f>
        <v>19</v>
      </c>
      <c r="B288" s="57">
        <f t="shared" si="52"/>
        <v>283</v>
      </c>
      <c r="C288" s="57">
        <f t="shared" si="49"/>
        <v>2002</v>
      </c>
      <c r="D288" s="57" t="s">
        <v>312</v>
      </c>
      <c r="E288">
        <f t="shared" si="43"/>
        <v>31</v>
      </c>
      <c r="F288">
        <f t="shared" si="45"/>
        <v>2002.5833333333119</v>
      </c>
      <c r="G288" s="57">
        <f t="shared" si="46"/>
        <v>283</v>
      </c>
      <c r="H288" s="57">
        <f t="shared" si="50"/>
        <v>2002</v>
      </c>
      <c r="I288" s="57" t="s">
        <v>312</v>
      </c>
      <c r="K288">
        <f t="shared" si="44"/>
        <v>31</v>
      </c>
      <c r="L288">
        <f t="shared" si="44"/>
        <v>31</v>
      </c>
      <c r="M288">
        <f t="shared" si="47"/>
        <v>67963</v>
      </c>
      <c r="S288">
        <f t="shared" si="51"/>
        <v>283</v>
      </c>
    </row>
    <row r="289" spans="1:19" x14ac:dyDescent="0.4">
      <c r="A289">
        <f t="shared" si="52"/>
        <v>20</v>
      </c>
      <c r="B289" s="57">
        <f t="shared" si="52"/>
        <v>284</v>
      </c>
      <c r="C289" s="57">
        <f t="shared" si="49"/>
        <v>2002</v>
      </c>
      <c r="D289" s="57" t="s">
        <v>313</v>
      </c>
      <c r="E289">
        <f t="shared" si="43"/>
        <v>32</v>
      </c>
      <c r="F289">
        <f t="shared" si="45"/>
        <v>2002.6666666666451</v>
      </c>
      <c r="G289" s="57">
        <f t="shared" si="46"/>
        <v>284</v>
      </c>
      <c r="H289" s="57">
        <f t="shared" si="50"/>
        <v>2002</v>
      </c>
      <c r="I289" s="57" t="s">
        <v>313</v>
      </c>
      <c r="K289">
        <f t="shared" si="44"/>
        <v>32</v>
      </c>
      <c r="L289">
        <f t="shared" si="44"/>
        <v>32</v>
      </c>
      <c r="M289">
        <f t="shared" si="47"/>
        <v>68204</v>
      </c>
      <c r="S289">
        <f t="shared" si="51"/>
        <v>284</v>
      </c>
    </row>
    <row r="290" spans="1:19" x14ac:dyDescent="0.4">
      <c r="A290">
        <f t="shared" si="52"/>
        <v>21</v>
      </c>
      <c r="B290" s="57">
        <f t="shared" si="52"/>
        <v>285</v>
      </c>
      <c r="C290" s="57">
        <f t="shared" si="49"/>
        <v>2002</v>
      </c>
      <c r="D290" s="57" t="s">
        <v>314</v>
      </c>
      <c r="E290">
        <f t="shared" si="43"/>
        <v>33</v>
      </c>
      <c r="F290">
        <f t="shared" si="45"/>
        <v>2002.7499999999784</v>
      </c>
      <c r="G290" s="57">
        <f t="shared" si="46"/>
        <v>285</v>
      </c>
      <c r="H290" s="57">
        <f t="shared" si="50"/>
        <v>2002</v>
      </c>
      <c r="I290" s="57" t="s">
        <v>314</v>
      </c>
      <c r="K290">
        <f t="shared" si="44"/>
        <v>33</v>
      </c>
      <c r="L290">
        <f t="shared" si="44"/>
        <v>33</v>
      </c>
      <c r="M290">
        <f t="shared" si="47"/>
        <v>68445</v>
      </c>
      <c r="S290">
        <f t="shared" si="51"/>
        <v>285</v>
      </c>
    </row>
    <row r="291" spans="1:19" x14ac:dyDescent="0.4">
      <c r="A291">
        <f t="shared" si="52"/>
        <v>22</v>
      </c>
      <c r="B291" s="57">
        <f t="shared" si="52"/>
        <v>286</v>
      </c>
      <c r="C291" s="57">
        <f t="shared" si="49"/>
        <v>2002</v>
      </c>
      <c r="D291" s="57" t="s">
        <v>316</v>
      </c>
      <c r="E291">
        <f t="shared" si="43"/>
        <v>34</v>
      </c>
      <c r="F291">
        <f t="shared" si="45"/>
        <v>2002.8333333333117</v>
      </c>
      <c r="G291" s="57">
        <f t="shared" si="46"/>
        <v>286</v>
      </c>
      <c r="H291" s="57">
        <f t="shared" si="50"/>
        <v>2002</v>
      </c>
      <c r="I291" s="57" t="s">
        <v>316</v>
      </c>
      <c r="K291">
        <f t="shared" si="44"/>
        <v>34</v>
      </c>
      <c r="L291">
        <f t="shared" si="44"/>
        <v>34</v>
      </c>
      <c r="M291">
        <f t="shared" si="47"/>
        <v>68686</v>
      </c>
      <c r="S291">
        <f t="shared" si="51"/>
        <v>286</v>
      </c>
    </row>
    <row r="292" spans="1:19" x14ac:dyDescent="0.4">
      <c r="A292">
        <f t="shared" si="52"/>
        <v>23</v>
      </c>
      <c r="B292" s="57">
        <f t="shared" si="52"/>
        <v>287</v>
      </c>
      <c r="C292" s="57">
        <f t="shared" si="49"/>
        <v>2002</v>
      </c>
      <c r="D292" s="57" t="s">
        <v>317</v>
      </c>
      <c r="E292">
        <f t="shared" si="43"/>
        <v>35</v>
      </c>
      <c r="F292">
        <f t="shared" si="45"/>
        <v>2002.9166666666449</v>
      </c>
      <c r="G292" s="57">
        <f t="shared" si="46"/>
        <v>287</v>
      </c>
      <c r="H292" s="57">
        <f t="shared" si="50"/>
        <v>2002</v>
      </c>
      <c r="I292" s="57" t="s">
        <v>317</v>
      </c>
      <c r="K292">
        <f t="shared" si="44"/>
        <v>35</v>
      </c>
      <c r="L292">
        <f t="shared" si="44"/>
        <v>35</v>
      </c>
      <c r="M292">
        <f t="shared" si="47"/>
        <v>68927</v>
      </c>
      <c r="S292">
        <f t="shared" si="51"/>
        <v>287</v>
      </c>
    </row>
    <row r="293" spans="1:19" x14ac:dyDescent="0.4">
      <c r="A293">
        <f t="shared" si="52"/>
        <v>24</v>
      </c>
      <c r="B293" s="57">
        <f t="shared" si="52"/>
        <v>288</v>
      </c>
      <c r="C293" s="57">
        <f t="shared" si="49"/>
        <v>2002</v>
      </c>
      <c r="D293" s="57" t="s">
        <v>319</v>
      </c>
      <c r="E293">
        <f t="shared" si="43"/>
        <v>36</v>
      </c>
      <c r="F293">
        <f t="shared" si="45"/>
        <v>2002.9999999999782</v>
      </c>
      <c r="G293" s="101">
        <f t="shared" si="46"/>
        <v>288</v>
      </c>
      <c r="H293" s="101">
        <f t="shared" si="50"/>
        <v>2002</v>
      </c>
      <c r="I293" s="101" t="s">
        <v>319</v>
      </c>
      <c r="K293" s="42">
        <f t="shared" si="44"/>
        <v>36</v>
      </c>
      <c r="L293" s="42">
        <f t="shared" si="44"/>
        <v>36</v>
      </c>
      <c r="M293">
        <f t="shared" si="47"/>
        <v>69168</v>
      </c>
      <c r="O293" s="92"/>
      <c r="P293" s="42">
        <f>P281+1</f>
        <v>2</v>
      </c>
      <c r="Q293" s="42"/>
      <c r="S293" s="100">
        <f t="shared" si="51"/>
        <v>288</v>
      </c>
    </row>
    <row r="294" spans="1:19" x14ac:dyDescent="0.4">
      <c r="A294">
        <f t="shared" si="52"/>
        <v>25</v>
      </c>
      <c r="B294" s="85">
        <f t="shared" si="52"/>
        <v>289</v>
      </c>
      <c r="C294" s="57">
        <f t="shared" si="49"/>
        <v>2003</v>
      </c>
      <c r="D294" s="57" t="s">
        <v>306</v>
      </c>
      <c r="E294">
        <f t="shared" si="43"/>
        <v>37</v>
      </c>
      <c r="F294">
        <f t="shared" si="45"/>
        <v>2003.0833333333114</v>
      </c>
      <c r="G294" s="85">
        <f t="shared" si="46"/>
        <v>289</v>
      </c>
      <c r="H294" s="57">
        <f t="shared" si="50"/>
        <v>2003</v>
      </c>
      <c r="I294" s="57" t="s">
        <v>306</v>
      </c>
      <c r="K294">
        <f t="shared" si="44"/>
        <v>37</v>
      </c>
      <c r="L294">
        <f t="shared" si="44"/>
        <v>37</v>
      </c>
      <c r="M294">
        <f t="shared" si="47"/>
        <v>69409</v>
      </c>
      <c r="S294" s="100">
        <f t="shared" si="51"/>
        <v>289</v>
      </c>
    </row>
    <row r="295" spans="1:19" x14ac:dyDescent="0.4">
      <c r="A295">
        <f t="shared" si="52"/>
        <v>26</v>
      </c>
      <c r="B295" s="57">
        <f t="shared" si="52"/>
        <v>290</v>
      </c>
      <c r="C295" s="57">
        <f t="shared" si="49"/>
        <v>2003</v>
      </c>
      <c r="D295" s="57" t="s">
        <v>307</v>
      </c>
      <c r="E295">
        <f t="shared" si="43"/>
        <v>38</v>
      </c>
      <c r="F295">
        <f t="shared" si="45"/>
        <v>2003.1666666666447</v>
      </c>
      <c r="G295" s="57">
        <f t="shared" si="46"/>
        <v>290</v>
      </c>
      <c r="H295" s="57">
        <f t="shared" si="50"/>
        <v>2003</v>
      </c>
      <c r="I295" s="57" t="s">
        <v>307</v>
      </c>
      <c r="K295">
        <f t="shared" si="44"/>
        <v>38</v>
      </c>
      <c r="L295">
        <f t="shared" si="44"/>
        <v>38</v>
      </c>
      <c r="M295">
        <f t="shared" si="47"/>
        <v>69650</v>
      </c>
      <c r="S295">
        <f t="shared" si="51"/>
        <v>290</v>
      </c>
    </row>
    <row r="296" spans="1:19" x14ac:dyDescent="0.4">
      <c r="A296">
        <f t="shared" si="52"/>
        <v>27</v>
      </c>
      <c r="B296" s="57">
        <f t="shared" si="52"/>
        <v>291</v>
      </c>
      <c r="C296" s="57">
        <f t="shared" si="49"/>
        <v>2003</v>
      </c>
      <c r="D296" s="57" t="s">
        <v>308</v>
      </c>
      <c r="E296">
        <f t="shared" si="43"/>
        <v>39</v>
      </c>
      <c r="F296">
        <f t="shared" si="45"/>
        <v>2003.2499999999779</v>
      </c>
      <c r="G296" s="57">
        <f t="shared" si="46"/>
        <v>291</v>
      </c>
      <c r="H296" s="57">
        <f t="shared" si="50"/>
        <v>2003</v>
      </c>
      <c r="I296" s="57" t="s">
        <v>308</v>
      </c>
      <c r="K296">
        <f t="shared" si="44"/>
        <v>39</v>
      </c>
      <c r="L296">
        <f t="shared" si="44"/>
        <v>39</v>
      </c>
      <c r="M296">
        <f t="shared" si="47"/>
        <v>69891</v>
      </c>
      <c r="S296">
        <f t="shared" si="51"/>
        <v>291</v>
      </c>
    </row>
    <row r="297" spans="1:19" x14ac:dyDescent="0.4">
      <c r="A297">
        <f t="shared" si="52"/>
        <v>28</v>
      </c>
      <c r="B297" s="57">
        <f t="shared" si="52"/>
        <v>292</v>
      </c>
      <c r="C297" s="57">
        <f t="shared" si="49"/>
        <v>2003</v>
      </c>
      <c r="D297" s="57" t="s">
        <v>309</v>
      </c>
      <c r="E297">
        <f t="shared" si="43"/>
        <v>40</v>
      </c>
      <c r="F297">
        <f t="shared" si="45"/>
        <v>2003.3333333333112</v>
      </c>
      <c r="G297" s="57">
        <f t="shared" si="46"/>
        <v>292</v>
      </c>
      <c r="H297" s="57">
        <f t="shared" si="50"/>
        <v>2003</v>
      </c>
      <c r="I297" s="57" t="s">
        <v>309</v>
      </c>
      <c r="K297">
        <f t="shared" si="44"/>
        <v>40</v>
      </c>
      <c r="L297">
        <f t="shared" si="44"/>
        <v>40</v>
      </c>
      <c r="M297">
        <f t="shared" si="47"/>
        <v>70132</v>
      </c>
      <c r="S297">
        <f t="shared" si="51"/>
        <v>292</v>
      </c>
    </row>
    <row r="298" spans="1:19" x14ac:dyDescent="0.4">
      <c r="A298">
        <f t="shared" si="52"/>
        <v>29</v>
      </c>
      <c r="B298" s="57">
        <f t="shared" si="52"/>
        <v>293</v>
      </c>
      <c r="C298" s="57">
        <f t="shared" si="49"/>
        <v>2003</v>
      </c>
      <c r="D298" s="57" t="s">
        <v>310</v>
      </c>
      <c r="E298">
        <f t="shared" si="43"/>
        <v>41</v>
      </c>
      <c r="F298">
        <f t="shared" si="45"/>
        <v>2003.4166666666445</v>
      </c>
      <c r="G298" s="57">
        <f t="shared" si="46"/>
        <v>293</v>
      </c>
      <c r="H298" s="57">
        <f t="shared" si="50"/>
        <v>2003</v>
      </c>
      <c r="I298" s="57" t="s">
        <v>310</v>
      </c>
      <c r="K298">
        <f t="shared" si="44"/>
        <v>41</v>
      </c>
      <c r="L298">
        <f t="shared" si="44"/>
        <v>41</v>
      </c>
      <c r="M298">
        <f t="shared" si="47"/>
        <v>70373</v>
      </c>
      <c r="S298">
        <f t="shared" si="51"/>
        <v>293</v>
      </c>
    </row>
    <row r="299" spans="1:19" x14ac:dyDescent="0.4">
      <c r="A299">
        <f t="shared" si="52"/>
        <v>30</v>
      </c>
      <c r="B299" s="57">
        <f t="shared" si="52"/>
        <v>294</v>
      </c>
      <c r="C299" s="57">
        <f t="shared" si="49"/>
        <v>2003</v>
      </c>
      <c r="D299" s="57" t="s">
        <v>311</v>
      </c>
      <c r="E299">
        <f t="shared" si="43"/>
        <v>42</v>
      </c>
      <c r="F299">
        <f t="shared" si="45"/>
        <v>2003.4999999999777</v>
      </c>
      <c r="G299" s="57">
        <f t="shared" si="46"/>
        <v>294</v>
      </c>
      <c r="H299" s="57">
        <f t="shared" si="50"/>
        <v>2003</v>
      </c>
      <c r="I299" s="57" t="s">
        <v>311</v>
      </c>
      <c r="K299">
        <f t="shared" si="44"/>
        <v>42</v>
      </c>
      <c r="L299">
        <f t="shared" si="44"/>
        <v>42</v>
      </c>
      <c r="M299">
        <f t="shared" si="47"/>
        <v>70614</v>
      </c>
      <c r="S299">
        <f t="shared" si="51"/>
        <v>294</v>
      </c>
    </row>
    <row r="300" spans="1:19" x14ac:dyDescent="0.4">
      <c r="A300">
        <f t="shared" si="52"/>
        <v>31</v>
      </c>
      <c r="B300" s="57">
        <f t="shared" si="52"/>
        <v>295</v>
      </c>
      <c r="C300" s="57">
        <f t="shared" si="49"/>
        <v>2003</v>
      </c>
      <c r="D300" s="57" t="s">
        <v>312</v>
      </c>
      <c r="E300">
        <f t="shared" si="43"/>
        <v>43</v>
      </c>
      <c r="F300">
        <f t="shared" si="45"/>
        <v>2003.583333333311</v>
      </c>
      <c r="G300" s="57">
        <f t="shared" si="46"/>
        <v>295</v>
      </c>
      <c r="H300" s="57">
        <f t="shared" si="50"/>
        <v>2003</v>
      </c>
      <c r="I300" s="57" t="s">
        <v>312</v>
      </c>
      <c r="K300">
        <f t="shared" si="44"/>
        <v>43</v>
      </c>
      <c r="L300">
        <f t="shared" si="44"/>
        <v>43</v>
      </c>
      <c r="M300">
        <f t="shared" si="47"/>
        <v>70855</v>
      </c>
      <c r="S300">
        <f t="shared" si="51"/>
        <v>295</v>
      </c>
    </row>
    <row r="301" spans="1:19" x14ac:dyDescent="0.4">
      <c r="A301">
        <f t="shared" si="52"/>
        <v>32</v>
      </c>
      <c r="B301" s="57">
        <f t="shared" si="52"/>
        <v>296</v>
      </c>
      <c r="C301" s="57">
        <f t="shared" si="49"/>
        <v>2003</v>
      </c>
      <c r="D301" s="57" t="s">
        <v>313</v>
      </c>
      <c r="E301">
        <f t="shared" si="43"/>
        <v>44</v>
      </c>
      <c r="F301">
        <f t="shared" si="45"/>
        <v>2003.6666666666442</v>
      </c>
      <c r="G301" s="57">
        <f t="shared" si="46"/>
        <v>296</v>
      </c>
      <c r="H301" s="57">
        <f t="shared" si="50"/>
        <v>2003</v>
      </c>
      <c r="I301" s="57" t="s">
        <v>313</v>
      </c>
      <c r="K301">
        <f t="shared" si="44"/>
        <v>44</v>
      </c>
      <c r="L301">
        <f t="shared" si="44"/>
        <v>44</v>
      </c>
      <c r="M301">
        <f t="shared" si="47"/>
        <v>71096</v>
      </c>
      <c r="S301">
        <f t="shared" si="51"/>
        <v>296</v>
      </c>
    </row>
    <row r="302" spans="1:19" x14ac:dyDescent="0.4">
      <c r="A302">
        <f t="shared" si="52"/>
        <v>33</v>
      </c>
      <c r="B302" s="57">
        <f t="shared" si="52"/>
        <v>297</v>
      </c>
      <c r="C302" s="57">
        <f t="shared" si="49"/>
        <v>2003</v>
      </c>
      <c r="D302" s="57" t="s">
        <v>314</v>
      </c>
      <c r="E302">
        <f t="shared" si="43"/>
        <v>45</v>
      </c>
      <c r="F302">
        <f t="shared" si="45"/>
        <v>2003.7499999999775</v>
      </c>
      <c r="G302" s="57">
        <f t="shared" si="46"/>
        <v>297</v>
      </c>
      <c r="H302" s="57">
        <f t="shared" si="50"/>
        <v>2003</v>
      </c>
      <c r="I302" s="57" t="s">
        <v>314</v>
      </c>
      <c r="K302">
        <f t="shared" si="44"/>
        <v>45</v>
      </c>
      <c r="L302">
        <f t="shared" si="44"/>
        <v>45</v>
      </c>
      <c r="M302">
        <f t="shared" si="47"/>
        <v>71337</v>
      </c>
      <c r="O302" s="84">
        <v>297</v>
      </c>
      <c r="S302">
        <f t="shared" si="51"/>
        <v>297</v>
      </c>
    </row>
    <row r="303" spans="1:19" x14ac:dyDescent="0.4">
      <c r="A303">
        <f t="shared" si="52"/>
        <v>34</v>
      </c>
      <c r="B303" s="57">
        <f t="shared" si="52"/>
        <v>298</v>
      </c>
      <c r="C303" s="57">
        <f t="shared" si="49"/>
        <v>2003</v>
      </c>
      <c r="D303" s="57" t="s">
        <v>316</v>
      </c>
      <c r="E303">
        <f t="shared" si="43"/>
        <v>46</v>
      </c>
      <c r="F303">
        <f t="shared" si="45"/>
        <v>2003.8333333333107</v>
      </c>
      <c r="G303" s="57">
        <f t="shared" si="46"/>
        <v>298</v>
      </c>
      <c r="H303" s="57">
        <f t="shared" si="50"/>
        <v>2003</v>
      </c>
      <c r="I303" s="57" t="s">
        <v>316</v>
      </c>
      <c r="K303">
        <f t="shared" si="44"/>
        <v>46</v>
      </c>
      <c r="L303">
        <f t="shared" si="44"/>
        <v>46</v>
      </c>
      <c r="M303">
        <f t="shared" si="47"/>
        <v>71578</v>
      </c>
      <c r="S303">
        <f t="shared" si="51"/>
        <v>298</v>
      </c>
    </row>
    <row r="304" spans="1:19" x14ac:dyDescent="0.4">
      <c r="A304">
        <f t="shared" ref="A304:B319" si="53">A303+1</f>
        <v>35</v>
      </c>
      <c r="B304" s="57">
        <f t="shared" si="53"/>
        <v>299</v>
      </c>
      <c r="C304" s="57">
        <f t="shared" si="49"/>
        <v>2003</v>
      </c>
      <c r="D304" s="57" t="s">
        <v>317</v>
      </c>
      <c r="E304">
        <f t="shared" si="43"/>
        <v>47</v>
      </c>
      <c r="F304">
        <f t="shared" si="45"/>
        <v>2003.916666666644</v>
      </c>
      <c r="G304" s="57">
        <f t="shared" si="46"/>
        <v>299</v>
      </c>
      <c r="H304" s="57">
        <f t="shared" si="50"/>
        <v>2003</v>
      </c>
      <c r="I304" s="57" t="s">
        <v>317</v>
      </c>
      <c r="K304">
        <f t="shared" si="44"/>
        <v>47</v>
      </c>
      <c r="L304">
        <f t="shared" si="44"/>
        <v>47</v>
      </c>
      <c r="M304">
        <f t="shared" si="47"/>
        <v>71819</v>
      </c>
      <c r="S304">
        <f t="shared" si="51"/>
        <v>299</v>
      </c>
    </row>
    <row r="305" spans="1:19" x14ac:dyDescent="0.4">
      <c r="A305">
        <f t="shared" si="53"/>
        <v>36</v>
      </c>
      <c r="B305" s="85">
        <f t="shared" si="53"/>
        <v>300</v>
      </c>
      <c r="C305" s="57">
        <f t="shared" si="49"/>
        <v>2003</v>
      </c>
      <c r="D305" s="57" t="s">
        <v>319</v>
      </c>
      <c r="E305">
        <f t="shared" si="43"/>
        <v>48</v>
      </c>
      <c r="F305">
        <f t="shared" si="45"/>
        <v>2003.9999999999773</v>
      </c>
      <c r="G305" s="106">
        <f t="shared" si="46"/>
        <v>300</v>
      </c>
      <c r="H305" s="101">
        <f t="shared" si="50"/>
        <v>2003</v>
      </c>
      <c r="I305" s="101" t="s">
        <v>319</v>
      </c>
      <c r="K305" s="42">
        <f t="shared" si="44"/>
        <v>48</v>
      </c>
      <c r="L305" s="42">
        <f t="shared" si="44"/>
        <v>48</v>
      </c>
      <c r="M305">
        <f t="shared" si="47"/>
        <v>72060</v>
      </c>
      <c r="O305" s="92"/>
      <c r="P305" s="42">
        <f>P293+1</f>
        <v>3</v>
      </c>
      <c r="Q305" s="42"/>
      <c r="S305" s="100">
        <f t="shared" si="51"/>
        <v>300</v>
      </c>
    </row>
    <row r="306" spans="1:19" x14ac:dyDescent="0.4">
      <c r="A306">
        <f t="shared" si="53"/>
        <v>37</v>
      </c>
      <c r="B306" s="57">
        <f t="shared" si="53"/>
        <v>301</v>
      </c>
      <c r="C306" s="57">
        <f t="shared" si="49"/>
        <v>2004</v>
      </c>
      <c r="D306" s="57" t="s">
        <v>306</v>
      </c>
      <c r="E306">
        <f t="shared" si="43"/>
        <v>49</v>
      </c>
      <c r="F306">
        <f t="shared" si="45"/>
        <v>2004.0833333333105</v>
      </c>
      <c r="G306" s="57">
        <f t="shared" si="46"/>
        <v>301</v>
      </c>
      <c r="H306" s="57">
        <f t="shared" si="50"/>
        <v>2004</v>
      </c>
      <c r="I306" s="57" t="s">
        <v>306</v>
      </c>
      <c r="K306">
        <f t="shared" si="44"/>
        <v>49</v>
      </c>
      <c r="L306">
        <f t="shared" si="44"/>
        <v>49</v>
      </c>
      <c r="M306">
        <f t="shared" si="47"/>
        <v>72301</v>
      </c>
      <c r="S306" s="100">
        <f t="shared" si="51"/>
        <v>301</v>
      </c>
    </row>
    <row r="307" spans="1:19" x14ac:dyDescent="0.4">
      <c r="A307">
        <f t="shared" si="53"/>
        <v>38</v>
      </c>
      <c r="B307" s="57">
        <f t="shared" si="53"/>
        <v>302</v>
      </c>
      <c r="C307" s="57">
        <f t="shared" si="49"/>
        <v>2004</v>
      </c>
      <c r="D307" s="57" t="s">
        <v>307</v>
      </c>
      <c r="E307">
        <f t="shared" si="43"/>
        <v>50</v>
      </c>
      <c r="F307">
        <f t="shared" si="45"/>
        <v>2004.1666666666438</v>
      </c>
      <c r="G307" s="57">
        <f t="shared" si="46"/>
        <v>302</v>
      </c>
      <c r="H307" s="57">
        <f t="shared" si="50"/>
        <v>2004</v>
      </c>
      <c r="I307" s="57" t="s">
        <v>307</v>
      </c>
      <c r="K307">
        <f t="shared" si="44"/>
        <v>50</v>
      </c>
      <c r="L307">
        <f t="shared" si="44"/>
        <v>50</v>
      </c>
      <c r="M307">
        <f t="shared" si="47"/>
        <v>72542</v>
      </c>
      <c r="S307">
        <f t="shared" si="51"/>
        <v>302</v>
      </c>
    </row>
    <row r="308" spans="1:19" x14ac:dyDescent="0.4">
      <c r="A308">
        <f t="shared" si="53"/>
        <v>39</v>
      </c>
      <c r="B308" s="57">
        <f t="shared" si="53"/>
        <v>303</v>
      </c>
      <c r="C308" s="57">
        <f t="shared" si="49"/>
        <v>2004</v>
      </c>
      <c r="D308" s="57" t="s">
        <v>308</v>
      </c>
      <c r="E308">
        <f t="shared" si="43"/>
        <v>51</v>
      </c>
      <c r="F308">
        <f t="shared" si="45"/>
        <v>2004.249999999977</v>
      </c>
      <c r="G308" s="57">
        <f t="shared" si="46"/>
        <v>303</v>
      </c>
      <c r="H308" s="57">
        <f t="shared" si="50"/>
        <v>2004</v>
      </c>
      <c r="I308" s="57" t="s">
        <v>308</v>
      </c>
      <c r="K308">
        <f t="shared" si="44"/>
        <v>51</v>
      </c>
      <c r="L308">
        <f t="shared" si="44"/>
        <v>51</v>
      </c>
      <c r="M308">
        <f t="shared" si="47"/>
        <v>72783</v>
      </c>
      <c r="S308">
        <f t="shared" si="51"/>
        <v>303</v>
      </c>
    </row>
    <row r="309" spans="1:19" x14ac:dyDescent="0.4">
      <c r="A309">
        <f t="shared" si="53"/>
        <v>40</v>
      </c>
      <c r="B309" s="57">
        <f t="shared" si="53"/>
        <v>304</v>
      </c>
      <c r="C309" s="57">
        <f t="shared" si="49"/>
        <v>2004</v>
      </c>
      <c r="D309" s="57" t="s">
        <v>309</v>
      </c>
      <c r="E309">
        <f t="shared" si="43"/>
        <v>52</v>
      </c>
      <c r="F309">
        <f t="shared" si="45"/>
        <v>2004.3333333333103</v>
      </c>
      <c r="G309" s="57">
        <f t="shared" si="46"/>
        <v>304</v>
      </c>
      <c r="H309" s="57">
        <f t="shared" si="50"/>
        <v>2004</v>
      </c>
      <c r="I309" s="57" t="s">
        <v>309</v>
      </c>
      <c r="K309">
        <f t="shared" si="44"/>
        <v>52</v>
      </c>
      <c r="L309">
        <f t="shared" si="44"/>
        <v>52</v>
      </c>
      <c r="M309">
        <f t="shared" si="47"/>
        <v>73024</v>
      </c>
      <c r="O309" s="84" t="s">
        <v>326</v>
      </c>
      <c r="S309">
        <f t="shared" si="51"/>
        <v>304</v>
      </c>
    </row>
    <row r="310" spans="1:19" x14ac:dyDescent="0.4">
      <c r="A310">
        <f t="shared" si="53"/>
        <v>41</v>
      </c>
      <c r="B310" s="57">
        <f t="shared" si="53"/>
        <v>305</v>
      </c>
      <c r="C310" s="57">
        <f t="shared" si="49"/>
        <v>2004</v>
      </c>
      <c r="D310" s="57" t="s">
        <v>310</v>
      </c>
      <c r="E310">
        <f t="shared" si="43"/>
        <v>53</v>
      </c>
      <c r="F310">
        <f t="shared" si="45"/>
        <v>2004.4166666666436</v>
      </c>
      <c r="G310" s="57">
        <f t="shared" si="46"/>
        <v>305</v>
      </c>
      <c r="H310" s="57">
        <f t="shared" si="50"/>
        <v>2004</v>
      </c>
      <c r="I310" s="57" t="s">
        <v>310</v>
      </c>
      <c r="K310">
        <f t="shared" si="44"/>
        <v>53</v>
      </c>
      <c r="L310">
        <f t="shared" si="44"/>
        <v>53</v>
      </c>
      <c r="M310">
        <f t="shared" si="47"/>
        <v>73265</v>
      </c>
      <c r="O310" s="107" t="s">
        <v>326</v>
      </c>
      <c r="S310">
        <f t="shared" si="51"/>
        <v>305</v>
      </c>
    </row>
    <row r="311" spans="1:19" x14ac:dyDescent="0.4">
      <c r="A311">
        <f t="shared" si="53"/>
        <v>42</v>
      </c>
      <c r="B311" s="57">
        <f t="shared" si="53"/>
        <v>306</v>
      </c>
      <c r="C311" s="57">
        <f t="shared" si="49"/>
        <v>2004</v>
      </c>
      <c r="D311" s="57" t="s">
        <v>311</v>
      </c>
      <c r="E311">
        <f t="shared" si="43"/>
        <v>54</v>
      </c>
      <c r="F311">
        <f t="shared" si="45"/>
        <v>2004.4999999999768</v>
      </c>
      <c r="G311" s="57">
        <f t="shared" si="46"/>
        <v>306</v>
      </c>
      <c r="H311" s="57">
        <f t="shared" si="50"/>
        <v>2004</v>
      </c>
      <c r="I311" s="57" t="s">
        <v>311</v>
      </c>
      <c r="K311">
        <f t="shared" si="44"/>
        <v>54</v>
      </c>
      <c r="L311">
        <f t="shared" si="44"/>
        <v>54</v>
      </c>
      <c r="M311">
        <f t="shared" si="47"/>
        <v>73506</v>
      </c>
      <c r="O311" s="84" t="s">
        <v>326</v>
      </c>
      <c r="S311">
        <f t="shared" si="51"/>
        <v>306</v>
      </c>
    </row>
    <row r="312" spans="1:19" x14ac:dyDescent="0.4">
      <c r="A312">
        <f t="shared" si="53"/>
        <v>43</v>
      </c>
      <c r="B312" s="57">
        <f t="shared" si="53"/>
        <v>307</v>
      </c>
      <c r="C312" s="57">
        <f t="shared" si="49"/>
        <v>2004</v>
      </c>
      <c r="D312" s="57" t="s">
        <v>312</v>
      </c>
      <c r="E312">
        <f t="shared" si="43"/>
        <v>55</v>
      </c>
      <c r="F312">
        <f t="shared" si="45"/>
        <v>2004.5833333333101</v>
      </c>
      <c r="G312" s="57">
        <f t="shared" si="46"/>
        <v>307</v>
      </c>
      <c r="H312" s="57">
        <f t="shared" si="50"/>
        <v>2004</v>
      </c>
      <c r="I312" s="57" t="s">
        <v>312</v>
      </c>
      <c r="K312">
        <f t="shared" si="44"/>
        <v>55</v>
      </c>
      <c r="L312">
        <f t="shared" si="44"/>
        <v>55</v>
      </c>
      <c r="M312">
        <f t="shared" si="47"/>
        <v>73747</v>
      </c>
      <c r="O312" s="90">
        <f>G312</f>
        <v>307</v>
      </c>
      <c r="S312">
        <f t="shared" si="51"/>
        <v>307</v>
      </c>
    </row>
    <row r="313" spans="1:19" x14ac:dyDescent="0.4">
      <c r="A313">
        <f t="shared" si="53"/>
        <v>44</v>
      </c>
      <c r="B313" s="57">
        <f t="shared" si="53"/>
        <v>308</v>
      </c>
      <c r="C313" s="57">
        <f t="shared" si="49"/>
        <v>2004</v>
      </c>
      <c r="D313" s="57" t="s">
        <v>313</v>
      </c>
      <c r="E313">
        <f t="shared" si="43"/>
        <v>56</v>
      </c>
      <c r="F313">
        <f t="shared" si="45"/>
        <v>2004.6666666666433</v>
      </c>
      <c r="G313" s="57">
        <f t="shared" si="46"/>
        <v>308</v>
      </c>
      <c r="H313" s="57">
        <f t="shared" si="50"/>
        <v>2004</v>
      </c>
      <c r="I313" s="57" t="s">
        <v>313</v>
      </c>
      <c r="K313">
        <f t="shared" si="44"/>
        <v>56</v>
      </c>
      <c r="L313">
        <f t="shared" si="44"/>
        <v>56</v>
      </c>
      <c r="M313">
        <f t="shared" si="47"/>
        <v>73988</v>
      </c>
      <c r="S313">
        <f t="shared" si="51"/>
        <v>308</v>
      </c>
    </row>
    <row r="314" spans="1:19" x14ac:dyDescent="0.4">
      <c r="A314">
        <f t="shared" si="53"/>
        <v>45</v>
      </c>
      <c r="B314" s="57">
        <f t="shared" si="53"/>
        <v>309</v>
      </c>
      <c r="C314" s="57">
        <f t="shared" si="49"/>
        <v>2004</v>
      </c>
      <c r="D314" s="57" t="s">
        <v>314</v>
      </c>
      <c r="E314">
        <f t="shared" si="43"/>
        <v>57</v>
      </c>
      <c r="F314">
        <f t="shared" si="45"/>
        <v>2004.7499999999766</v>
      </c>
      <c r="G314" s="57">
        <f t="shared" si="46"/>
        <v>309</v>
      </c>
      <c r="H314" s="57">
        <f t="shared" si="50"/>
        <v>2004</v>
      </c>
      <c r="I314" s="57" t="s">
        <v>314</v>
      </c>
      <c r="K314">
        <f t="shared" si="44"/>
        <v>57</v>
      </c>
      <c r="L314">
        <f t="shared" si="44"/>
        <v>57</v>
      </c>
      <c r="M314">
        <f t="shared" si="47"/>
        <v>74229</v>
      </c>
      <c r="S314">
        <f t="shared" si="51"/>
        <v>309</v>
      </c>
    </row>
    <row r="315" spans="1:19" x14ac:dyDescent="0.4">
      <c r="A315">
        <f t="shared" si="53"/>
        <v>46</v>
      </c>
      <c r="B315" s="57">
        <f t="shared" si="53"/>
        <v>310</v>
      </c>
      <c r="C315" s="57">
        <f t="shared" si="49"/>
        <v>2004</v>
      </c>
      <c r="D315" s="57" t="s">
        <v>316</v>
      </c>
      <c r="E315">
        <f t="shared" si="43"/>
        <v>58</v>
      </c>
      <c r="F315">
        <f t="shared" si="45"/>
        <v>2004.8333333333098</v>
      </c>
      <c r="G315" s="57">
        <f t="shared" si="46"/>
        <v>310</v>
      </c>
      <c r="H315" s="57">
        <f t="shared" si="50"/>
        <v>2004</v>
      </c>
      <c r="I315" s="57" t="s">
        <v>316</v>
      </c>
      <c r="K315">
        <f t="shared" si="44"/>
        <v>58</v>
      </c>
      <c r="L315">
        <f t="shared" si="44"/>
        <v>58</v>
      </c>
      <c r="M315">
        <f t="shared" si="47"/>
        <v>74470</v>
      </c>
      <c r="S315">
        <f t="shared" si="51"/>
        <v>310</v>
      </c>
    </row>
    <row r="316" spans="1:19" x14ac:dyDescent="0.4">
      <c r="A316">
        <f t="shared" si="53"/>
        <v>47</v>
      </c>
      <c r="B316" s="57">
        <f t="shared" si="53"/>
        <v>311</v>
      </c>
      <c r="C316" s="57">
        <f t="shared" si="49"/>
        <v>2004</v>
      </c>
      <c r="D316" s="57" t="s">
        <v>317</v>
      </c>
      <c r="E316">
        <f t="shared" si="43"/>
        <v>59</v>
      </c>
      <c r="F316">
        <f t="shared" si="45"/>
        <v>2004.9166666666431</v>
      </c>
      <c r="G316" s="57">
        <f t="shared" si="46"/>
        <v>311</v>
      </c>
      <c r="H316" s="57">
        <f t="shared" si="50"/>
        <v>2004</v>
      </c>
      <c r="I316" s="57" t="s">
        <v>317</v>
      </c>
      <c r="K316">
        <f t="shared" si="44"/>
        <v>59</v>
      </c>
      <c r="L316">
        <f t="shared" si="44"/>
        <v>59</v>
      </c>
      <c r="M316">
        <f t="shared" si="47"/>
        <v>74711</v>
      </c>
      <c r="S316">
        <f t="shared" si="51"/>
        <v>311</v>
      </c>
    </row>
    <row r="317" spans="1:19" x14ac:dyDescent="0.4">
      <c r="A317">
        <f t="shared" si="53"/>
        <v>48</v>
      </c>
      <c r="B317" s="57">
        <f t="shared" si="53"/>
        <v>312</v>
      </c>
      <c r="C317" s="57">
        <f t="shared" si="49"/>
        <v>2004</v>
      </c>
      <c r="D317" s="57" t="s">
        <v>319</v>
      </c>
      <c r="E317">
        <f t="shared" si="43"/>
        <v>60</v>
      </c>
      <c r="F317">
        <f t="shared" si="45"/>
        <v>2004.9999999999764</v>
      </c>
      <c r="G317" s="91">
        <f t="shared" si="46"/>
        <v>312</v>
      </c>
      <c r="H317" s="91">
        <f t="shared" si="50"/>
        <v>2004</v>
      </c>
      <c r="I317" s="91" t="s">
        <v>319</v>
      </c>
      <c r="K317" s="42">
        <f t="shared" si="44"/>
        <v>60</v>
      </c>
      <c r="L317" s="42">
        <f t="shared" si="44"/>
        <v>60</v>
      </c>
      <c r="M317">
        <f t="shared" si="47"/>
        <v>74952</v>
      </c>
      <c r="O317" s="92"/>
      <c r="P317" s="42">
        <f>P305+1</f>
        <v>4</v>
      </c>
      <c r="Q317" s="42"/>
      <c r="S317" s="100">
        <f t="shared" si="51"/>
        <v>312</v>
      </c>
    </row>
    <row r="318" spans="1:19" x14ac:dyDescent="0.4">
      <c r="A318">
        <f t="shared" si="53"/>
        <v>49</v>
      </c>
      <c r="B318" s="108">
        <f t="shared" si="53"/>
        <v>313</v>
      </c>
      <c r="C318" s="108">
        <f t="shared" si="49"/>
        <v>2005</v>
      </c>
      <c r="D318" s="108" t="s">
        <v>306</v>
      </c>
      <c r="F318">
        <f t="shared" si="45"/>
        <v>2005.0833333333096</v>
      </c>
      <c r="G318" s="108">
        <f t="shared" si="46"/>
        <v>313</v>
      </c>
      <c r="H318" s="108">
        <f t="shared" si="50"/>
        <v>2005</v>
      </c>
      <c r="I318" s="108" t="s">
        <v>306</v>
      </c>
      <c r="K318">
        <v>1</v>
      </c>
      <c r="L318" s="85"/>
      <c r="M318">
        <f t="shared" si="47"/>
        <v>75193</v>
      </c>
      <c r="S318" s="100">
        <f t="shared" si="51"/>
        <v>313</v>
      </c>
    </row>
    <row r="319" spans="1:19" x14ac:dyDescent="0.4">
      <c r="A319">
        <f t="shared" si="53"/>
        <v>50</v>
      </c>
      <c r="B319" s="108">
        <f t="shared" si="53"/>
        <v>314</v>
      </c>
      <c r="C319" s="108">
        <f t="shared" si="49"/>
        <v>2005</v>
      </c>
      <c r="D319" s="108" t="s">
        <v>307</v>
      </c>
      <c r="F319">
        <f t="shared" si="45"/>
        <v>2005.1666666666429</v>
      </c>
      <c r="G319" s="108">
        <f t="shared" si="46"/>
        <v>314</v>
      </c>
      <c r="H319" s="108">
        <f t="shared" si="50"/>
        <v>2005</v>
      </c>
      <c r="I319" s="108" t="s">
        <v>307</v>
      </c>
      <c r="K319">
        <f>K318+1</f>
        <v>2</v>
      </c>
      <c r="M319">
        <f t="shared" si="47"/>
        <v>75434</v>
      </c>
      <c r="S319">
        <f t="shared" si="51"/>
        <v>314</v>
      </c>
    </row>
    <row r="320" spans="1:19" x14ac:dyDescent="0.4">
      <c r="A320">
        <f t="shared" ref="A320:B335" si="54">A319+1</f>
        <v>51</v>
      </c>
      <c r="B320" s="108">
        <f t="shared" si="54"/>
        <v>315</v>
      </c>
      <c r="C320" s="108">
        <f t="shared" si="49"/>
        <v>2005</v>
      </c>
      <c r="D320" s="108" t="s">
        <v>308</v>
      </c>
      <c r="F320">
        <f t="shared" si="45"/>
        <v>2005.2499999999761</v>
      </c>
      <c r="G320" s="108">
        <f t="shared" si="46"/>
        <v>315</v>
      </c>
      <c r="H320" s="108">
        <f t="shared" si="50"/>
        <v>2005</v>
      </c>
      <c r="I320" s="108" t="s">
        <v>308</v>
      </c>
      <c r="K320">
        <f t="shared" ref="K320:K377" si="55">K319+1</f>
        <v>3</v>
      </c>
      <c r="M320">
        <f t="shared" si="47"/>
        <v>75675</v>
      </c>
      <c r="S320">
        <f t="shared" si="51"/>
        <v>315</v>
      </c>
    </row>
    <row r="321" spans="1:19" x14ac:dyDescent="0.4">
      <c r="A321">
        <f t="shared" si="54"/>
        <v>52</v>
      </c>
      <c r="B321" s="108">
        <f t="shared" si="54"/>
        <v>316</v>
      </c>
      <c r="C321" s="108">
        <f t="shared" si="49"/>
        <v>2005</v>
      </c>
      <c r="D321" s="108" t="s">
        <v>309</v>
      </c>
      <c r="F321">
        <f t="shared" si="45"/>
        <v>2005.3333333333094</v>
      </c>
      <c r="G321" s="108">
        <f t="shared" si="46"/>
        <v>316</v>
      </c>
      <c r="H321" s="108">
        <f t="shared" si="50"/>
        <v>2005</v>
      </c>
      <c r="I321" s="108" t="s">
        <v>309</v>
      </c>
      <c r="K321">
        <f t="shared" si="55"/>
        <v>4</v>
      </c>
      <c r="M321">
        <f t="shared" si="47"/>
        <v>75916</v>
      </c>
      <c r="S321">
        <f t="shared" si="51"/>
        <v>316</v>
      </c>
    </row>
    <row r="322" spans="1:19" x14ac:dyDescent="0.4">
      <c r="A322">
        <f t="shared" si="54"/>
        <v>53</v>
      </c>
      <c r="B322" s="108">
        <f t="shared" si="54"/>
        <v>317</v>
      </c>
      <c r="C322" s="108">
        <f t="shared" si="49"/>
        <v>2005</v>
      </c>
      <c r="D322" s="108" t="s">
        <v>310</v>
      </c>
      <c r="F322">
        <f t="shared" si="45"/>
        <v>2005.4166666666426</v>
      </c>
      <c r="G322" s="108">
        <f t="shared" si="46"/>
        <v>317</v>
      </c>
      <c r="H322" s="108">
        <f t="shared" si="50"/>
        <v>2005</v>
      </c>
      <c r="I322" s="108" t="s">
        <v>310</v>
      </c>
      <c r="K322">
        <f t="shared" si="55"/>
        <v>5</v>
      </c>
      <c r="M322">
        <f t="shared" si="47"/>
        <v>76157</v>
      </c>
      <c r="S322">
        <f t="shared" si="51"/>
        <v>317</v>
      </c>
    </row>
    <row r="323" spans="1:19" ht="21.6" thickBot="1" x14ac:dyDescent="0.45">
      <c r="A323">
        <f t="shared" si="54"/>
        <v>54</v>
      </c>
      <c r="B323" s="108">
        <f t="shared" si="54"/>
        <v>318</v>
      </c>
      <c r="C323" s="108">
        <f t="shared" si="49"/>
        <v>2005</v>
      </c>
      <c r="D323" s="108" t="s">
        <v>311</v>
      </c>
      <c r="F323">
        <f t="shared" si="45"/>
        <v>2005.4999999999759</v>
      </c>
      <c r="G323" s="108">
        <f t="shared" si="46"/>
        <v>318</v>
      </c>
      <c r="H323" s="108">
        <f t="shared" si="50"/>
        <v>2005</v>
      </c>
      <c r="I323" s="108" t="s">
        <v>311</v>
      </c>
      <c r="K323">
        <f t="shared" si="55"/>
        <v>6</v>
      </c>
      <c r="M323">
        <f t="shared" si="47"/>
        <v>76398</v>
      </c>
      <c r="S323">
        <f t="shared" si="51"/>
        <v>318</v>
      </c>
    </row>
    <row r="324" spans="1:19" ht="21.6" thickBot="1" x14ac:dyDescent="0.45">
      <c r="A324">
        <f t="shared" si="54"/>
        <v>55</v>
      </c>
      <c r="B324" s="108">
        <f t="shared" si="54"/>
        <v>319</v>
      </c>
      <c r="C324" s="108">
        <f t="shared" si="49"/>
        <v>2005</v>
      </c>
      <c r="D324" s="108" t="s">
        <v>312</v>
      </c>
      <c r="F324">
        <f t="shared" si="45"/>
        <v>2005.5833333333092</v>
      </c>
      <c r="G324" s="108">
        <f t="shared" si="46"/>
        <v>319</v>
      </c>
      <c r="H324" s="108">
        <f t="shared" si="50"/>
        <v>2005</v>
      </c>
      <c r="I324" s="108" t="s">
        <v>312</v>
      </c>
      <c r="K324">
        <f t="shared" si="55"/>
        <v>7</v>
      </c>
      <c r="L324" s="86"/>
      <c r="M324">
        <f t="shared" si="47"/>
        <v>76639</v>
      </c>
      <c r="O324" s="84">
        <f>G324</f>
        <v>319</v>
      </c>
      <c r="S324">
        <f t="shared" si="51"/>
        <v>319</v>
      </c>
    </row>
    <row r="325" spans="1:19" x14ac:dyDescent="0.4">
      <c r="A325">
        <f t="shared" si="54"/>
        <v>56</v>
      </c>
      <c r="B325" s="108">
        <f t="shared" si="54"/>
        <v>320</v>
      </c>
      <c r="C325" s="108">
        <f t="shared" si="49"/>
        <v>2005</v>
      </c>
      <c r="D325" s="108" t="s">
        <v>313</v>
      </c>
      <c r="F325">
        <f t="shared" si="45"/>
        <v>2005.6666666666424</v>
      </c>
      <c r="G325" s="108">
        <f t="shared" si="46"/>
        <v>320</v>
      </c>
      <c r="H325" s="108">
        <f t="shared" si="50"/>
        <v>2005</v>
      </c>
      <c r="I325" s="108" t="s">
        <v>313</v>
      </c>
      <c r="K325">
        <f t="shared" si="55"/>
        <v>8</v>
      </c>
      <c r="M325">
        <f t="shared" si="47"/>
        <v>76880</v>
      </c>
      <c r="S325">
        <f t="shared" si="51"/>
        <v>320</v>
      </c>
    </row>
    <row r="326" spans="1:19" x14ac:dyDescent="0.4">
      <c r="A326">
        <f t="shared" si="54"/>
        <v>57</v>
      </c>
      <c r="B326" s="108">
        <f t="shared" si="54"/>
        <v>321</v>
      </c>
      <c r="C326" s="108">
        <f t="shared" si="49"/>
        <v>2005</v>
      </c>
      <c r="D326" s="108" t="s">
        <v>314</v>
      </c>
      <c r="F326">
        <f t="shared" si="45"/>
        <v>2005.7499999999757</v>
      </c>
      <c r="G326" s="108">
        <f t="shared" si="46"/>
        <v>321</v>
      </c>
      <c r="H326" s="108">
        <f t="shared" si="50"/>
        <v>2005</v>
      </c>
      <c r="I326" s="108" t="s">
        <v>314</v>
      </c>
      <c r="K326">
        <f t="shared" si="55"/>
        <v>9</v>
      </c>
      <c r="M326">
        <f t="shared" si="47"/>
        <v>77121</v>
      </c>
      <c r="O326" s="84">
        <v>321</v>
      </c>
      <c r="S326">
        <f t="shared" si="51"/>
        <v>321</v>
      </c>
    </row>
    <row r="327" spans="1:19" x14ac:dyDescent="0.4">
      <c r="A327">
        <f t="shared" si="54"/>
        <v>58</v>
      </c>
      <c r="B327" s="108">
        <f t="shared" si="54"/>
        <v>322</v>
      </c>
      <c r="C327" s="108">
        <f t="shared" si="49"/>
        <v>2005</v>
      </c>
      <c r="D327" s="108" t="s">
        <v>316</v>
      </c>
      <c r="F327">
        <f t="shared" si="45"/>
        <v>2005.8333333333089</v>
      </c>
      <c r="G327" s="108">
        <f t="shared" si="46"/>
        <v>322</v>
      </c>
      <c r="H327" s="108">
        <f t="shared" si="50"/>
        <v>2005</v>
      </c>
      <c r="I327" s="108" t="s">
        <v>316</v>
      </c>
      <c r="K327">
        <f t="shared" si="55"/>
        <v>10</v>
      </c>
      <c r="M327">
        <f t="shared" si="47"/>
        <v>77362</v>
      </c>
      <c r="S327">
        <f t="shared" si="51"/>
        <v>322</v>
      </c>
    </row>
    <row r="328" spans="1:19" x14ac:dyDescent="0.4">
      <c r="A328">
        <f t="shared" si="54"/>
        <v>59</v>
      </c>
      <c r="B328" s="108">
        <f t="shared" si="54"/>
        <v>323</v>
      </c>
      <c r="C328" s="108">
        <f t="shared" si="49"/>
        <v>2005</v>
      </c>
      <c r="D328" s="108" t="s">
        <v>317</v>
      </c>
      <c r="F328">
        <f t="shared" ref="F328:F391" si="56">F327+1/12</f>
        <v>2005.9166666666422</v>
      </c>
      <c r="G328" s="108">
        <f t="shared" ref="G328:G391" si="57">G327+1</f>
        <v>323</v>
      </c>
      <c r="H328" s="108">
        <f t="shared" si="50"/>
        <v>2005</v>
      </c>
      <c r="I328" s="108" t="s">
        <v>317</v>
      </c>
      <c r="K328">
        <f t="shared" si="55"/>
        <v>11</v>
      </c>
      <c r="M328">
        <f t="shared" ref="M328:M391" si="58">M327+241</f>
        <v>77603</v>
      </c>
      <c r="S328">
        <f t="shared" si="51"/>
        <v>323</v>
      </c>
    </row>
    <row r="329" spans="1:19" x14ac:dyDescent="0.4">
      <c r="A329">
        <f t="shared" si="54"/>
        <v>60</v>
      </c>
      <c r="B329" s="109">
        <f t="shared" si="54"/>
        <v>324</v>
      </c>
      <c r="C329" s="108">
        <f t="shared" si="49"/>
        <v>2005</v>
      </c>
      <c r="D329" s="108" t="s">
        <v>319</v>
      </c>
      <c r="F329">
        <f t="shared" si="56"/>
        <v>2005.9999999999754</v>
      </c>
      <c r="G329" s="110">
        <f t="shared" si="57"/>
        <v>324</v>
      </c>
      <c r="H329" s="111">
        <f t="shared" si="50"/>
        <v>2005</v>
      </c>
      <c r="I329" s="111" t="s">
        <v>319</v>
      </c>
      <c r="K329" s="42">
        <f t="shared" si="55"/>
        <v>12</v>
      </c>
      <c r="L329" s="42"/>
      <c r="M329">
        <f t="shared" si="58"/>
        <v>77844</v>
      </c>
      <c r="O329" s="92"/>
      <c r="P329" s="42">
        <f>P317+1</f>
        <v>5</v>
      </c>
      <c r="Q329" s="42"/>
      <c r="S329" s="100">
        <f t="shared" si="51"/>
        <v>324</v>
      </c>
    </row>
    <row r="330" spans="1:19" x14ac:dyDescent="0.4">
      <c r="A330">
        <v>1</v>
      </c>
      <c r="B330" s="93">
        <f t="shared" si="54"/>
        <v>325</v>
      </c>
      <c r="C330" s="57">
        <f t="shared" si="49"/>
        <v>2006</v>
      </c>
      <c r="D330" s="57" t="s">
        <v>306</v>
      </c>
      <c r="F330">
        <f t="shared" si="56"/>
        <v>2006.0833333333087</v>
      </c>
      <c r="G330" s="93">
        <f t="shared" si="57"/>
        <v>325</v>
      </c>
      <c r="H330" s="57">
        <f t="shared" si="50"/>
        <v>2006</v>
      </c>
      <c r="I330" s="57" t="s">
        <v>306</v>
      </c>
      <c r="K330">
        <f t="shared" si="55"/>
        <v>13</v>
      </c>
      <c r="L330" s="85"/>
      <c r="M330">
        <f t="shared" si="58"/>
        <v>78085</v>
      </c>
      <c r="S330" s="100">
        <f t="shared" si="51"/>
        <v>325</v>
      </c>
    </row>
    <row r="331" spans="1:19" x14ac:dyDescent="0.4">
      <c r="A331">
        <f>A330+1</f>
        <v>2</v>
      </c>
      <c r="B331" s="57">
        <f t="shared" si="54"/>
        <v>326</v>
      </c>
      <c r="C331" s="57">
        <f t="shared" si="49"/>
        <v>2006</v>
      </c>
      <c r="D331" s="57" t="s">
        <v>307</v>
      </c>
      <c r="F331">
        <f t="shared" si="56"/>
        <v>2006.166666666642</v>
      </c>
      <c r="G331" s="57">
        <f t="shared" si="57"/>
        <v>326</v>
      </c>
      <c r="H331" s="57">
        <f t="shared" si="50"/>
        <v>2006</v>
      </c>
      <c r="I331" s="57" t="s">
        <v>307</v>
      </c>
      <c r="K331">
        <f t="shared" si="55"/>
        <v>14</v>
      </c>
      <c r="M331">
        <f t="shared" si="58"/>
        <v>78326</v>
      </c>
      <c r="S331">
        <f t="shared" si="51"/>
        <v>326</v>
      </c>
    </row>
    <row r="332" spans="1:19" x14ac:dyDescent="0.4">
      <c r="A332">
        <f t="shared" ref="A332:B347" si="59">A331+1</f>
        <v>3</v>
      </c>
      <c r="B332" s="57">
        <f t="shared" si="54"/>
        <v>327</v>
      </c>
      <c r="C332" s="57">
        <f t="shared" si="49"/>
        <v>2006</v>
      </c>
      <c r="D332" s="57" t="s">
        <v>308</v>
      </c>
      <c r="E332" s="6"/>
      <c r="F332">
        <f t="shared" si="56"/>
        <v>2006.2499999999752</v>
      </c>
      <c r="G332" s="57">
        <f t="shared" si="57"/>
        <v>327</v>
      </c>
      <c r="H332" s="57">
        <f t="shared" si="50"/>
        <v>2006</v>
      </c>
      <c r="I332" s="57" t="s">
        <v>308</v>
      </c>
      <c r="K332">
        <f t="shared" si="55"/>
        <v>15</v>
      </c>
      <c r="M332">
        <f t="shared" si="58"/>
        <v>78567</v>
      </c>
      <c r="S332">
        <f t="shared" si="51"/>
        <v>327</v>
      </c>
    </row>
    <row r="333" spans="1:19" x14ac:dyDescent="0.4">
      <c r="A333">
        <f t="shared" si="59"/>
        <v>4</v>
      </c>
      <c r="B333" s="57">
        <f t="shared" si="54"/>
        <v>328</v>
      </c>
      <c r="C333" s="57">
        <f t="shared" si="49"/>
        <v>2006</v>
      </c>
      <c r="D333" s="57" t="s">
        <v>309</v>
      </c>
      <c r="E333" s="6"/>
      <c r="F333">
        <f t="shared" si="56"/>
        <v>2006.3333333333085</v>
      </c>
      <c r="G333" s="57">
        <f t="shared" si="57"/>
        <v>328</v>
      </c>
      <c r="H333" s="57">
        <f t="shared" si="50"/>
        <v>2006</v>
      </c>
      <c r="I333" s="57" t="s">
        <v>309</v>
      </c>
      <c r="K333">
        <f t="shared" si="55"/>
        <v>16</v>
      </c>
      <c r="M333">
        <f t="shared" si="58"/>
        <v>78808</v>
      </c>
      <c r="S333">
        <f t="shared" si="51"/>
        <v>328</v>
      </c>
    </row>
    <row r="334" spans="1:19" x14ac:dyDescent="0.4">
      <c r="A334">
        <f t="shared" si="59"/>
        <v>5</v>
      </c>
      <c r="B334" s="57">
        <f t="shared" si="54"/>
        <v>329</v>
      </c>
      <c r="C334" s="57">
        <f t="shared" si="49"/>
        <v>2006</v>
      </c>
      <c r="D334" s="57" t="s">
        <v>310</v>
      </c>
      <c r="E334" s="6"/>
      <c r="F334">
        <f t="shared" si="56"/>
        <v>2006.4166666666417</v>
      </c>
      <c r="G334" s="57">
        <f t="shared" si="57"/>
        <v>329</v>
      </c>
      <c r="H334" s="57">
        <f t="shared" si="50"/>
        <v>2006</v>
      </c>
      <c r="I334" s="57" t="s">
        <v>310</v>
      </c>
      <c r="K334">
        <f t="shared" si="55"/>
        <v>17</v>
      </c>
      <c r="M334">
        <f t="shared" si="58"/>
        <v>79049</v>
      </c>
      <c r="O334" s="84" t="s">
        <v>327</v>
      </c>
      <c r="S334">
        <f t="shared" si="51"/>
        <v>329</v>
      </c>
    </row>
    <row r="335" spans="1:19" x14ac:dyDescent="0.4">
      <c r="A335">
        <f t="shared" si="59"/>
        <v>6</v>
      </c>
      <c r="B335" s="57">
        <f t="shared" si="54"/>
        <v>330</v>
      </c>
      <c r="C335" s="57">
        <f t="shared" si="49"/>
        <v>2006</v>
      </c>
      <c r="D335" s="57" t="s">
        <v>311</v>
      </c>
      <c r="F335">
        <f t="shared" si="56"/>
        <v>2006.499999999975</v>
      </c>
      <c r="G335" s="57">
        <f t="shared" si="57"/>
        <v>330</v>
      </c>
      <c r="H335" s="57">
        <f t="shared" si="50"/>
        <v>2006</v>
      </c>
      <c r="I335" s="57" t="s">
        <v>311</v>
      </c>
      <c r="K335">
        <f t="shared" si="55"/>
        <v>18</v>
      </c>
      <c r="M335">
        <f t="shared" si="58"/>
        <v>79290</v>
      </c>
      <c r="S335">
        <f t="shared" si="51"/>
        <v>330</v>
      </c>
    </row>
    <row r="336" spans="1:19" x14ac:dyDescent="0.4">
      <c r="A336">
        <f t="shared" si="59"/>
        <v>7</v>
      </c>
      <c r="B336" s="57">
        <f t="shared" si="59"/>
        <v>331</v>
      </c>
      <c r="C336" s="57">
        <f t="shared" si="49"/>
        <v>2006</v>
      </c>
      <c r="D336" s="57" t="s">
        <v>312</v>
      </c>
      <c r="F336">
        <f t="shared" si="56"/>
        <v>2006.5833333333082</v>
      </c>
      <c r="G336" s="57">
        <f t="shared" si="57"/>
        <v>331</v>
      </c>
      <c r="H336" s="57">
        <f t="shared" si="50"/>
        <v>2006</v>
      </c>
      <c r="I336" s="57" t="s">
        <v>312</v>
      </c>
      <c r="K336">
        <f t="shared" si="55"/>
        <v>19</v>
      </c>
      <c r="L336" s="88"/>
      <c r="M336">
        <f t="shared" si="58"/>
        <v>79531</v>
      </c>
      <c r="S336">
        <f t="shared" si="51"/>
        <v>331</v>
      </c>
    </row>
    <row r="337" spans="1:19" x14ac:dyDescent="0.4">
      <c r="A337">
        <f t="shared" si="59"/>
        <v>8</v>
      </c>
      <c r="B337" s="57">
        <f t="shared" si="59"/>
        <v>332</v>
      </c>
      <c r="C337" s="57">
        <f t="shared" si="49"/>
        <v>2006</v>
      </c>
      <c r="D337" s="57" t="s">
        <v>313</v>
      </c>
      <c r="F337">
        <f t="shared" si="56"/>
        <v>2006.6666666666415</v>
      </c>
      <c r="G337" s="57">
        <f t="shared" si="57"/>
        <v>332</v>
      </c>
      <c r="H337" s="57">
        <f t="shared" si="50"/>
        <v>2006</v>
      </c>
      <c r="I337" s="57" t="s">
        <v>313</v>
      </c>
      <c r="K337">
        <f t="shared" si="55"/>
        <v>20</v>
      </c>
      <c r="M337">
        <f t="shared" si="58"/>
        <v>79772</v>
      </c>
      <c r="S337">
        <f t="shared" si="51"/>
        <v>332</v>
      </c>
    </row>
    <row r="338" spans="1:19" x14ac:dyDescent="0.4">
      <c r="A338">
        <f t="shared" si="59"/>
        <v>9</v>
      </c>
      <c r="B338" s="57">
        <f t="shared" si="59"/>
        <v>333</v>
      </c>
      <c r="C338" s="57">
        <f t="shared" si="49"/>
        <v>2006</v>
      </c>
      <c r="D338" s="57" t="s">
        <v>314</v>
      </c>
      <c r="F338">
        <f t="shared" si="56"/>
        <v>2006.7499999999748</v>
      </c>
      <c r="G338" s="57">
        <f t="shared" si="57"/>
        <v>333</v>
      </c>
      <c r="H338" s="57">
        <f t="shared" si="50"/>
        <v>2006</v>
      </c>
      <c r="I338" s="57" t="s">
        <v>314</v>
      </c>
      <c r="K338">
        <f t="shared" si="55"/>
        <v>21</v>
      </c>
      <c r="M338">
        <f t="shared" si="58"/>
        <v>80013</v>
      </c>
      <c r="S338">
        <f t="shared" si="51"/>
        <v>333</v>
      </c>
    </row>
    <row r="339" spans="1:19" x14ac:dyDescent="0.4">
      <c r="A339">
        <f t="shared" si="59"/>
        <v>10</v>
      </c>
      <c r="B339" s="57">
        <f t="shared" si="59"/>
        <v>334</v>
      </c>
      <c r="C339" s="57">
        <f t="shared" ref="C339:C402" si="60">C327+1</f>
        <v>2006</v>
      </c>
      <c r="D339" s="57" t="s">
        <v>316</v>
      </c>
      <c r="F339">
        <f t="shared" si="56"/>
        <v>2006.833333333308</v>
      </c>
      <c r="G339" s="57">
        <f t="shared" si="57"/>
        <v>334</v>
      </c>
      <c r="H339" s="57">
        <f t="shared" ref="H339:H402" si="61">H327+1</f>
        <v>2006</v>
      </c>
      <c r="I339" s="57" t="s">
        <v>316</v>
      </c>
      <c r="K339">
        <f t="shared" si="55"/>
        <v>22</v>
      </c>
      <c r="M339">
        <f t="shared" si="58"/>
        <v>80254</v>
      </c>
      <c r="S339">
        <f t="shared" si="51"/>
        <v>334</v>
      </c>
    </row>
    <row r="340" spans="1:19" x14ac:dyDescent="0.4">
      <c r="A340">
        <f t="shared" si="59"/>
        <v>11</v>
      </c>
      <c r="B340" s="57">
        <f t="shared" si="59"/>
        <v>335</v>
      </c>
      <c r="C340" s="57">
        <f t="shared" si="60"/>
        <v>2006</v>
      </c>
      <c r="D340" s="57" t="s">
        <v>317</v>
      </c>
      <c r="F340">
        <f t="shared" si="56"/>
        <v>2006.9166666666413</v>
      </c>
      <c r="G340" s="57">
        <f t="shared" si="57"/>
        <v>335</v>
      </c>
      <c r="H340" s="57">
        <f t="shared" si="61"/>
        <v>2006</v>
      </c>
      <c r="I340" s="57" t="s">
        <v>317</v>
      </c>
      <c r="K340">
        <f t="shared" si="55"/>
        <v>23</v>
      </c>
      <c r="M340">
        <f t="shared" si="58"/>
        <v>80495</v>
      </c>
      <c r="S340">
        <f t="shared" ref="S340:S403" si="62">S339+1</f>
        <v>335</v>
      </c>
    </row>
    <row r="341" spans="1:19" x14ac:dyDescent="0.4">
      <c r="A341">
        <f t="shared" si="59"/>
        <v>12</v>
      </c>
      <c r="B341" s="57">
        <f t="shared" si="59"/>
        <v>336</v>
      </c>
      <c r="C341" s="57">
        <f t="shared" si="60"/>
        <v>2006</v>
      </c>
      <c r="D341" s="57" t="s">
        <v>319</v>
      </c>
      <c r="F341">
        <f t="shared" si="56"/>
        <v>2006.9999999999745</v>
      </c>
      <c r="G341" s="101">
        <f t="shared" si="57"/>
        <v>336</v>
      </c>
      <c r="H341" s="101">
        <f t="shared" si="61"/>
        <v>2006</v>
      </c>
      <c r="I341" s="101" t="s">
        <v>319</v>
      </c>
      <c r="K341" s="42">
        <f t="shared" si="55"/>
        <v>24</v>
      </c>
      <c r="L341" s="42"/>
      <c r="M341">
        <f t="shared" si="58"/>
        <v>80736</v>
      </c>
      <c r="O341" s="92"/>
      <c r="P341" s="42">
        <f>P329+1</f>
        <v>6</v>
      </c>
      <c r="Q341" s="42"/>
      <c r="S341" s="100">
        <f t="shared" si="62"/>
        <v>336</v>
      </c>
    </row>
    <row r="342" spans="1:19" x14ac:dyDescent="0.4">
      <c r="A342">
        <f t="shared" si="59"/>
        <v>13</v>
      </c>
      <c r="B342" s="57">
        <f t="shared" si="59"/>
        <v>337</v>
      </c>
      <c r="C342" s="57">
        <f t="shared" si="60"/>
        <v>2007</v>
      </c>
      <c r="D342" s="57" t="s">
        <v>306</v>
      </c>
      <c r="F342">
        <f t="shared" si="56"/>
        <v>2007.0833333333078</v>
      </c>
      <c r="G342" s="57">
        <f t="shared" si="57"/>
        <v>337</v>
      </c>
      <c r="H342" s="57">
        <f t="shared" si="61"/>
        <v>2007</v>
      </c>
      <c r="I342" s="57" t="s">
        <v>306</v>
      </c>
      <c r="K342">
        <f t="shared" si="55"/>
        <v>25</v>
      </c>
      <c r="L342" s="85"/>
      <c r="M342">
        <f t="shared" si="58"/>
        <v>80977</v>
      </c>
      <c r="S342" s="100">
        <f t="shared" si="62"/>
        <v>337</v>
      </c>
    </row>
    <row r="343" spans="1:19" x14ac:dyDescent="0.4">
      <c r="A343">
        <f t="shared" si="59"/>
        <v>14</v>
      </c>
      <c r="B343" s="57">
        <f t="shared" si="59"/>
        <v>338</v>
      </c>
      <c r="C343" s="57">
        <f t="shared" si="60"/>
        <v>2007</v>
      </c>
      <c r="D343" s="57" t="s">
        <v>307</v>
      </c>
      <c r="F343">
        <f t="shared" si="56"/>
        <v>2007.166666666641</v>
      </c>
      <c r="G343" s="57">
        <f t="shared" si="57"/>
        <v>338</v>
      </c>
      <c r="H343" s="57">
        <f t="shared" si="61"/>
        <v>2007</v>
      </c>
      <c r="I343" s="57" t="s">
        <v>307</v>
      </c>
      <c r="K343">
        <f t="shared" si="55"/>
        <v>26</v>
      </c>
      <c r="M343">
        <f t="shared" si="58"/>
        <v>81218</v>
      </c>
      <c r="S343">
        <f t="shared" si="62"/>
        <v>338</v>
      </c>
    </row>
    <row r="344" spans="1:19" x14ac:dyDescent="0.4">
      <c r="A344">
        <f t="shared" si="59"/>
        <v>15</v>
      </c>
      <c r="B344" s="57">
        <f t="shared" si="59"/>
        <v>339</v>
      </c>
      <c r="C344" s="57">
        <f t="shared" si="60"/>
        <v>2007</v>
      </c>
      <c r="D344" s="57" t="s">
        <v>308</v>
      </c>
      <c r="F344">
        <f t="shared" si="56"/>
        <v>2007.2499999999743</v>
      </c>
      <c r="G344" s="57">
        <f t="shared" si="57"/>
        <v>339</v>
      </c>
      <c r="H344" s="57">
        <f t="shared" si="61"/>
        <v>2007</v>
      </c>
      <c r="I344" s="57" t="s">
        <v>308</v>
      </c>
      <c r="K344">
        <f t="shared" si="55"/>
        <v>27</v>
      </c>
      <c r="M344">
        <f t="shared" si="58"/>
        <v>81459</v>
      </c>
      <c r="S344">
        <f t="shared" si="62"/>
        <v>339</v>
      </c>
    </row>
    <row r="345" spans="1:19" x14ac:dyDescent="0.4">
      <c r="A345">
        <f t="shared" si="59"/>
        <v>16</v>
      </c>
      <c r="B345" s="57">
        <f t="shared" si="59"/>
        <v>340</v>
      </c>
      <c r="C345" s="57">
        <f t="shared" si="60"/>
        <v>2007</v>
      </c>
      <c r="D345" s="57" t="s">
        <v>309</v>
      </c>
      <c r="F345">
        <f t="shared" si="56"/>
        <v>2007.3333333333076</v>
      </c>
      <c r="G345" s="57">
        <f t="shared" si="57"/>
        <v>340</v>
      </c>
      <c r="H345" s="57">
        <f t="shared" si="61"/>
        <v>2007</v>
      </c>
      <c r="I345" s="57" t="s">
        <v>309</v>
      </c>
      <c r="K345">
        <f t="shared" si="55"/>
        <v>28</v>
      </c>
      <c r="M345">
        <f t="shared" si="58"/>
        <v>81700</v>
      </c>
      <c r="S345">
        <f t="shared" si="62"/>
        <v>340</v>
      </c>
    </row>
    <row r="346" spans="1:19" x14ac:dyDescent="0.4">
      <c r="A346">
        <f t="shared" si="59"/>
        <v>17</v>
      </c>
      <c r="B346" s="57">
        <f t="shared" si="59"/>
        <v>341</v>
      </c>
      <c r="C346" s="57">
        <f t="shared" si="60"/>
        <v>2007</v>
      </c>
      <c r="D346" s="57" t="s">
        <v>310</v>
      </c>
      <c r="F346">
        <f t="shared" si="56"/>
        <v>2007.4166666666408</v>
      </c>
      <c r="G346" s="57">
        <f t="shared" si="57"/>
        <v>341</v>
      </c>
      <c r="H346" s="57">
        <f t="shared" si="61"/>
        <v>2007</v>
      </c>
      <c r="I346" s="57" t="s">
        <v>310</v>
      </c>
      <c r="K346">
        <f t="shared" si="55"/>
        <v>29</v>
      </c>
      <c r="M346">
        <f t="shared" si="58"/>
        <v>81941</v>
      </c>
      <c r="S346">
        <f t="shared" si="62"/>
        <v>341</v>
      </c>
    </row>
    <row r="347" spans="1:19" x14ac:dyDescent="0.4">
      <c r="A347">
        <f t="shared" si="59"/>
        <v>18</v>
      </c>
      <c r="B347" s="57">
        <f t="shared" si="59"/>
        <v>342</v>
      </c>
      <c r="C347" s="57">
        <f t="shared" si="60"/>
        <v>2007</v>
      </c>
      <c r="D347" s="57" t="s">
        <v>311</v>
      </c>
      <c r="F347">
        <f t="shared" si="56"/>
        <v>2007.4999999999741</v>
      </c>
      <c r="G347" s="57">
        <f t="shared" si="57"/>
        <v>342</v>
      </c>
      <c r="H347" s="57">
        <f t="shared" si="61"/>
        <v>2007</v>
      </c>
      <c r="I347" s="57" t="s">
        <v>311</v>
      </c>
      <c r="K347">
        <f t="shared" si="55"/>
        <v>30</v>
      </c>
      <c r="M347">
        <f t="shared" si="58"/>
        <v>82182</v>
      </c>
      <c r="S347">
        <f t="shared" si="62"/>
        <v>342</v>
      </c>
    </row>
    <row r="348" spans="1:19" x14ac:dyDescent="0.4">
      <c r="A348">
        <f t="shared" ref="A348:B363" si="63">A347+1</f>
        <v>19</v>
      </c>
      <c r="B348" s="57">
        <f t="shared" si="63"/>
        <v>343</v>
      </c>
      <c r="C348" s="57">
        <f t="shared" si="60"/>
        <v>2007</v>
      </c>
      <c r="D348" s="57" t="s">
        <v>312</v>
      </c>
      <c r="F348">
        <f t="shared" si="56"/>
        <v>2007.5833333333073</v>
      </c>
      <c r="G348" s="57">
        <f t="shared" si="57"/>
        <v>343</v>
      </c>
      <c r="H348" s="57">
        <f t="shared" si="61"/>
        <v>2007</v>
      </c>
      <c r="I348" s="57" t="s">
        <v>312</v>
      </c>
      <c r="K348">
        <f t="shared" si="55"/>
        <v>31</v>
      </c>
      <c r="L348" s="88"/>
      <c r="M348">
        <f t="shared" si="58"/>
        <v>82423</v>
      </c>
      <c r="S348">
        <f t="shared" si="62"/>
        <v>343</v>
      </c>
    </row>
    <row r="349" spans="1:19" x14ac:dyDescent="0.4">
      <c r="A349">
        <f t="shared" si="63"/>
        <v>20</v>
      </c>
      <c r="B349" s="57">
        <f t="shared" si="63"/>
        <v>344</v>
      </c>
      <c r="C349" s="57">
        <f t="shared" si="60"/>
        <v>2007</v>
      </c>
      <c r="D349" s="57" t="s">
        <v>313</v>
      </c>
      <c r="F349">
        <f t="shared" si="56"/>
        <v>2007.6666666666406</v>
      </c>
      <c r="G349" s="57">
        <f t="shared" si="57"/>
        <v>344</v>
      </c>
      <c r="H349" s="57">
        <f t="shared" si="61"/>
        <v>2007</v>
      </c>
      <c r="I349" s="57" t="s">
        <v>313</v>
      </c>
      <c r="K349">
        <f t="shared" si="55"/>
        <v>32</v>
      </c>
      <c r="M349">
        <f t="shared" si="58"/>
        <v>82664</v>
      </c>
      <c r="S349">
        <f t="shared" si="62"/>
        <v>344</v>
      </c>
    </row>
    <row r="350" spans="1:19" x14ac:dyDescent="0.4">
      <c r="A350">
        <f t="shared" si="63"/>
        <v>21</v>
      </c>
      <c r="B350" s="57">
        <f t="shared" si="63"/>
        <v>345</v>
      </c>
      <c r="C350" s="57">
        <f t="shared" si="60"/>
        <v>2007</v>
      </c>
      <c r="D350" s="57" t="s">
        <v>314</v>
      </c>
      <c r="F350">
        <f t="shared" si="56"/>
        <v>2007.7499999999739</v>
      </c>
      <c r="G350" s="57">
        <f t="shared" si="57"/>
        <v>345</v>
      </c>
      <c r="H350" s="57">
        <f t="shared" si="61"/>
        <v>2007</v>
      </c>
      <c r="I350" s="57" t="s">
        <v>314</v>
      </c>
      <c r="K350">
        <f t="shared" si="55"/>
        <v>33</v>
      </c>
      <c r="M350">
        <f t="shared" si="58"/>
        <v>82905</v>
      </c>
      <c r="S350">
        <f t="shared" si="62"/>
        <v>345</v>
      </c>
    </row>
    <row r="351" spans="1:19" x14ac:dyDescent="0.4">
      <c r="A351">
        <f t="shared" si="63"/>
        <v>22</v>
      </c>
      <c r="B351" s="57">
        <f t="shared" si="63"/>
        <v>346</v>
      </c>
      <c r="C351" s="57">
        <f t="shared" si="60"/>
        <v>2007</v>
      </c>
      <c r="D351" s="57" t="s">
        <v>316</v>
      </c>
      <c r="F351">
        <f t="shared" si="56"/>
        <v>2007.8333333333071</v>
      </c>
      <c r="G351" s="57">
        <f t="shared" si="57"/>
        <v>346</v>
      </c>
      <c r="H351" s="57">
        <f t="shared" si="61"/>
        <v>2007</v>
      </c>
      <c r="I351" s="57" t="s">
        <v>316</v>
      </c>
      <c r="K351">
        <f t="shared" si="55"/>
        <v>34</v>
      </c>
      <c r="M351">
        <f t="shared" si="58"/>
        <v>83146</v>
      </c>
      <c r="S351">
        <f t="shared" si="62"/>
        <v>346</v>
      </c>
    </row>
    <row r="352" spans="1:19" x14ac:dyDescent="0.4">
      <c r="A352">
        <f t="shared" si="63"/>
        <v>23</v>
      </c>
      <c r="B352" s="57">
        <f t="shared" si="63"/>
        <v>347</v>
      </c>
      <c r="C352" s="57">
        <f t="shared" si="60"/>
        <v>2007</v>
      </c>
      <c r="D352" s="57" t="s">
        <v>317</v>
      </c>
      <c r="F352">
        <f t="shared" si="56"/>
        <v>2007.9166666666404</v>
      </c>
      <c r="G352" s="57">
        <f t="shared" si="57"/>
        <v>347</v>
      </c>
      <c r="H352" s="57">
        <f t="shared" si="61"/>
        <v>2007</v>
      </c>
      <c r="I352" s="57" t="s">
        <v>317</v>
      </c>
      <c r="K352">
        <f t="shared" si="55"/>
        <v>35</v>
      </c>
      <c r="M352">
        <f t="shared" si="58"/>
        <v>83387</v>
      </c>
      <c r="S352">
        <f t="shared" si="62"/>
        <v>347</v>
      </c>
    </row>
    <row r="353" spans="1:20" x14ac:dyDescent="0.4">
      <c r="A353">
        <f t="shared" si="63"/>
        <v>24</v>
      </c>
      <c r="B353" s="57">
        <f t="shared" si="63"/>
        <v>348</v>
      </c>
      <c r="C353" s="57">
        <f t="shared" si="60"/>
        <v>2007</v>
      </c>
      <c r="D353" s="57" t="s">
        <v>319</v>
      </c>
      <c r="F353">
        <f t="shared" si="56"/>
        <v>2007.9999999999736</v>
      </c>
      <c r="G353" s="57">
        <f t="shared" si="57"/>
        <v>348</v>
      </c>
      <c r="H353" s="101">
        <f t="shared" si="61"/>
        <v>2007</v>
      </c>
      <c r="I353" s="101" t="s">
        <v>319</v>
      </c>
      <c r="K353" s="42">
        <f t="shared" si="55"/>
        <v>36</v>
      </c>
      <c r="L353" s="42"/>
      <c r="M353">
        <f t="shared" si="58"/>
        <v>83628</v>
      </c>
      <c r="O353" s="92"/>
      <c r="P353" s="42">
        <f>P341+1</f>
        <v>7</v>
      </c>
      <c r="Q353" s="42"/>
      <c r="R353" s="42"/>
      <c r="S353" s="100">
        <f t="shared" si="62"/>
        <v>348</v>
      </c>
      <c r="T353" s="42"/>
    </row>
    <row r="354" spans="1:20" x14ac:dyDescent="0.4">
      <c r="A354">
        <f t="shared" si="63"/>
        <v>25</v>
      </c>
      <c r="B354" s="57">
        <f t="shared" si="63"/>
        <v>349</v>
      </c>
      <c r="C354" s="57">
        <f t="shared" si="60"/>
        <v>2008</v>
      </c>
      <c r="D354" s="57" t="s">
        <v>306</v>
      </c>
      <c r="E354" s="6" t="s">
        <v>328</v>
      </c>
      <c r="F354">
        <f t="shared" si="56"/>
        <v>2008.0833333333069</v>
      </c>
      <c r="G354" s="57">
        <f t="shared" si="57"/>
        <v>349</v>
      </c>
      <c r="H354" s="57">
        <f t="shared" si="61"/>
        <v>2008</v>
      </c>
      <c r="I354" s="57" t="s">
        <v>306</v>
      </c>
      <c r="K354">
        <f t="shared" si="55"/>
        <v>37</v>
      </c>
      <c r="L354" s="85"/>
      <c r="M354">
        <f t="shared" si="58"/>
        <v>83869</v>
      </c>
      <c r="S354" s="100">
        <f t="shared" si="62"/>
        <v>349</v>
      </c>
    </row>
    <row r="355" spans="1:20" x14ac:dyDescent="0.4">
      <c r="A355">
        <f t="shared" si="63"/>
        <v>26</v>
      </c>
      <c r="B355" s="57">
        <f t="shared" si="63"/>
        <v>350</v>
      </c>
      <c r="C355" s="57">
        <f t="shared" si="60"/>
        <v>2008</v>
      </c>
      <c r="D355" s="57" t="s">
        <v>307</v>
      </c>
      <c r="F355">
        <f t="shared" si="56"/>
        <v>2008.1666666666401</v>
      </c>
      <c r="G355" s="57">
        <f t="shared" si="57"/>
        <v>350</v>
      </c>
      <c r="H355" s="57">
        <f t="shared" si="61"/>
        <v>2008</v>
      </c>
      <c r="I355" s="57" t="s">
        <v>307</v>
      </c>
      <c r="K355">
        <f t="shared" si="55"/>
        <v>38</v>
      </c>
      <c r="M355">
        <f t="shared" si="58"/>
        <v>84110</v>
      </c>
      <c r="S355">
        <f t="shared" si="62"/>
        <v>350</v>
      </c>
    </row>
    <row r="356" spans="1:20" x14ac:dyDescent="0.4">
      <c r="A356">
        <f t="shared" si="63"/>
        <v>27</v>
      </c>
      <c r="B356" s="57">
        <f t="shared" si="63"/>
        <v>351</v>
      </c>
      <c r="C356" s="57">
        <f t="shared" si="60"/>
        <v>2008</v>
      </c>
      <c r="D356" s="57" t="s">
        <v>308</v>
      </c>
      <c r="F356">
        <f t="shared" si="56"/>
        <v>2008.2499999999734</v>
      </c>
      <c r="G356" s="57">
        <f t="shared" si="57"/>
        <v>351</v>
      </c>
      <c r="H356" s="57">
        <f t="shared" si="61"/>
        <v>2008</v>
      </c>
      <c r="I356" s="57" t="s">
        <v>308</v>
      </c>
      <c r="K356">
        <f t="shared" si="55"/>
        <v>39</v>
      </c>
      <c r="M356">
        <f t="shared" si="58"/>
        <v>84351</v>
      </c>
      <c r="S356">
        <f t="shared" si="62"/>
        <v>351</v>
      </c>
    </row>
    <row r="357" spans="1:20" x14ac:dyDescent="0.4">
      <c r="A357">
        <f t="shared" si="63"/>
        <v>28</v>
      </c>
      <c r="B357" s="57">
        <f t="shared" si="63"/>
        <v>352</v>
      </c>
      <c r="C357" s="57">
        <f t="shared" si="60"/>
        <v>2008</v>
      </c>
      <c r="D357" s="57" t="s">
        <v>309</v>
      </c>
      <c r="F357">
        <f t="shared" si="56"/>
        <v>2008.3333333333067</v>
      </c>
      <c r="G357" s="57">
        <f t="shared" si="57"/>
        <v>352</v>
      </c>
      <c r="H357" s="57">
        <f t="shared" si="61"/>
        <v>2008</v>
      </c>
      <c r="I357" s="57" t="s">
        <v>309</v>
      </c>
      <c r="K357">
        <f t="shared" si="55"/>
        <v>40</v>
      </c>
      <c r="M357">
        <f t="shared" si="58"/>
        <v>84592</v>
      </c>
      <c r="S357">
        <f t="shared" si="62"/>
        <v>352</v>
      </c>
    </row>
    <row r="358" spans="1:20" x14ac:dyDescent="0.4">
      <c r="A358">
        <f t="shared" si="63"/>
        <v>29</v>
      </c>
      <c r="B358" s="57">
        <f t="shared" si="63"/>
        <v>353</v>
      </c>
      <c r="C358" s="57">
        <f t="shared" si="60"/>
        <v>2008</v>
      </c>
      <c r="D358" s="57" t="s">
        <v>310</v>
      </c>
      <c r="F358">
        <f t="shared" si="56"/>
        <v>2008.4166666666399</v>
      </c>
      <c r="G358" s="57">
        <f t="shared" si="57"/>
        <v>353</v>
      </c>
      <c r="H358" s="57">
        <f t="shared" si="61"/>
        <v>2008</v>
      </c>
      <c r="I358" s="57" t="s">
        <v>310</v>
      </c>
      <c r="K358">
        <f t="shared" si="55"/>
        <v>41</v>
      </c>
      <c r="M358">
        <f t="shared" si="58"/>
        <v>84833</v>
      </c>
      <c r="S358">
        <f t="shared" si="62"/>
        <v>353</v>
      </c>
    </row>
    <row r="359" spans="1:20" x14ac:dyDescent="0.4">
      <c r="A359">
        <f t="shared" si="63"/>
        <v>30</v>
      </c>
      <c r="B359" s="57">
        <f t="shared" si="63"/>
        <v>354</v>
      </c>
      <c r="C359" s="57">
        <f t="shared" si="60"/>
        <v>2008</v>
      </c>
      <c r="D359" s="57" t="s">
        <v>311</v>
      </c>
      <c r="F359">
        <f t="shared" si="56"/>
        <v>2008.4999999999732</v>
      </c>
      <c r="G359" s="57">
        <f t="shared" si="57"/>
        <v>354</v>
      </c>
      <c r="H359" s="57">
        <f t="shared" si="61"/>
        <v>2008</v>
      </c>
      <c r="I359" s="57" t="s">
        <v>311</v>
      </c>
      <c r="K359">
        <f t="shared" si="55"/>
        <v>42</v>
      </c>
      <c r="M359">
        <f t="shared" si="58"/>
        <v>85074</v>
      </c>
      <c r="S359">
        <f t="shared" si="62"/>
        <v>354</v>
      </c>
    </row>
    <row r="360" spans="1:20" x14ac:dyDescent="0.4">
      <c r="A360">
        <f t="shared" si="63"/>
        <v>31</v>
      </c>
      <c r="B360" s="57">
        <f t="shared" si="63"/>
        <v>355</v>
      </c>
      <c r="C360" s="57">
        <f t="shared" si="60"/>
        <v>2008</v>
      </c>
      <c r="D360" s="57" t="s">
        <v>312</v>
      </c>
      <c r="F360">
        <f t="shared" si="56"/>
        <v>2008.5833333333064</v>
      </c>
      <c r="G360" s="57">
        <f t="shared" si="57"/>
        <v>355</v>
      </c>
      <c r="H360" s="57">
        <f t="shared" si="61"/>
        <v>2008</v>
      </c>
      <c r="I360" s="57" t="s">
        <v>312</v>
      </c>
      <c r="K360">
        <f t="shared" si="55"/>
        <v>43</v>
      </c>
      <c r="L360" s="88"/>
      <c r="M360">
        <f t="shared" si="58"/>
        <v>85315</v>
      </c>
      <c r="S360">
        <f t="shared" si="62"/>
        <v>355</v>
      </c>
    </row>
    <row r="361" spans="1:20" x14ac:dyDescent="0.4">
      <c r="A361">
        <f t="shared" si="63"/>
        <v>32</v>
      </c>
      <c r="B361" s="57">
        <f t="shared" si="63"/>
        <v>356</v>
      </c>
      <c r="C361" s="57">
        <f t="shared" si="60"/>
        <v>2008</v>
      </c>
      <c r="D361" s="57" t="s">
        <v>313</v>
      </c>
      <c r="F361">
        <f t="shared" si="56"/>
        <v>2008.6666666666397</v>
      </c>
      <c r="G361" s="57">
        <f t="shared" si="57"/>
        <v>356</v>
      </c>
      <c r="H361" s="57">
        <f t="shared" si="61"/>
        <v>2008</v>
      </c>
      <c r="I361" s="57" t="s">
        <v>313</v>
      </c>
      <c r="K361">
        <f t="shared" si="55"/>
        <v>44</v>
      </c>
      <c r="M361">
        <f t="shared" si="58"/>
        <v>85556</v>
      </c>
      <c r="S361">
        <f t="shared" si="62"/>
        <v>356</v>
      </c>
    </row>
    <row r="362" spans="1:20" x14ac:dyDescent="0.4">
      <c r="A362">
        <f t="shared" si="63"/>
        <v>33</v>
      </c>
      <c r="B362" s="57">
        <f t="shared" si="63"/>
        <v>357</v>
      </c>
      <c r="C362" s="57">
        <f t="shared" si="60"/>
        <v>2008</v>
      </c>
      <c r="D362" s="57" t="s">
        <v>314</v>
      </c>
      <c r="F362">
        <f t="shared" si="56"/>
        <v>2008.7499999999729</v>
      </c>
      <c r="G362" s="57">
        <f t="shared" si="57"/>
        <v>357</v>
      </c>
      <c r="H362" s="57">
        <f t="shared" si="61"/>
        <v>2008</v>
      </c>
      <c r="I362" s="57" t="s">
        <v>314</v>
      </c>
      <c r="K362">
        <f t="shared" si="55"/>
        <v>45</v>
      </c>
      <c r="M362">
        <f t="shared" si="58"/>
        <v>85797</v>
      </c>
      <c r="S362">
        <f t="shared" si="62"/>
        <v>357</v>
      </c>
    </row>
    <row r="363" spans="1:20" x14ac:dyDescent="0.4">
      <c r="A363">
        <f t="shared" si="63"/>
        <v>34</v>
      </c>
      <c r="B363" s="57">
        <f t="shared" si="63"/>
        <v>358</v>
      </c>
      <c r="C363" s="57">
        <f t="shared" si="60"/>
        <v>2008</v>
      </c>
      <c r="D363" s="57" t="s">
        <v>316</v>
      </c>
      <c r="F363">
        <f t="shared" si="56"/>
        <v>2008.8333333333062</v>
      </c>
      <c r="G363" s="57">
        <f t="shared" si="57"/>
        <v>358</v>
      </c>
      <c r="H363" s="57">
        <f t="shared" si="61"/>
        <v>2008</v>
      </c>
      <c r="I363" s="57" t="s">
        <v>316</v>
      </c>
      <c r="K363">
        <f t="shared" si="55"/>
        <v>46</v>
      </c>
      <c r="M363">
        <f t="shared" si="58"/>
        <v>86038</v>
      </c>
      <c r="S363">
        <f t="shared" si="62"/>
        <v>358</v>
      </c>
    </row>
    <row r="364" spans="1:20" x14ac:dyDescent="0.4">
      <c r="A364">
        <f t="shared" ref="A364:B379" si="64">A363+1</f>
        <v>35</v>
      </c>
      <c r="B364" s="57">
        <f t="shared" si="64"/>
        <v>359</v>
      </c>
      <c r="C364" s="57">
        <f t="shared" si="60"/>
        <v>2008</v>
      </c>
      <c r="D364" s="57" t="s">
        <v>317</v>
      </c>
      <c r="F364">
        <f t="shared" si="56"/>
        <v>2008.9166666666395</v>
      </c>
      <c r="G364" s="57">
        <f t="shared" si="57"/>
        <v>359</v>
      </c>
      <c r="H364" s="57">
        <f t="shared" si="61"/>
        <v>2008</v>
      </c>
      <c r="I364" s="57" t="s">
        <v>317</v>
      </c>
      <c r="K364">
        <f t="shared" si="55"/>
        <v>47</v>
      </c>
      <c r="M364">
        <f t="shared" si="58"/>
        <v>86279</v>
      </c>
      <c r="S364">
        <f t="shared" si="62"/>
        <v>359</v>
      </c>
    </row>
    <row r="365" spans="1:20" x14ac:dyDescent="0.4">
      <c r="A365">
        <f t="shared" si="64"/>
        <v>36</v>
      </c>
      <c r="B365" s="57">
        <f t="shared" si="64"/>
        <v>360</v>
      </c>
      <c r="C365" s="57">
        <f t="shared" si="60"/>
        <v>2008</v>
      </c>
      <c r="D365" s="57" t="s">
        <v>319</v>
      </c>
      <c r="F365">
        <f t="shared" si="56"/>
        <v>2008.9999999999727</v>
      </c>
      <c r="G365" s="57">
        <f t="shared" si="57"/>
        <v>360</v>
      </c>
      <c r="H365" s="101">
        <f t="shared" si="61"/>
        <v>2008</v>
      </c>
      <c r="I365" s="101" t="s">
        <v>319</v>
      </c>
      <c r="K365" s="42">
        <f t="shared" si="55"/>
        <v>48</v>
      </c>
      <c r="L365" s="42"/>
      <c r="M365">
        <f t="shared" si="58"/>
        <v>86520</v>
      </c>
      <c r="O365" s="92"/>
      <c r="P365" s="42">
        <f>P353+1</f>
        <v>8</v>
      </c>
      <c r="Q365" s="42"/>
      <c r="R365" s="42"/>
      <c r="S365" s="100">
        <f t="shared" si="62"/>
        <v>360</v>
      </c>
      <c r="T365" s="42"/>
    </row>
    <row r="366" spans="1:20" x14ac:dyDescent="0.4">
      <c r="A366">
        <f t="shared" si="64"/>
        <v>37</v>
      </c>
      <c r="B366" s="85">
        <f t="shared" si="64"/>
        <v>361</v>
      </c>
      <c r="C366" s="85">
        <f t="shared" si="60"/>
        <v>2009</v>
      </c>
      <c r="D366" s="85" t="s">
        <v>306</v>
      </c>
      <c r="E366">
        <f t="shared" ref="E366:E423" si="65">E367-1</f>
        <v>1</v>
      </c>
      <c r="F366">
        <f t="shared" si="56"/>
        <v>2009.083333333306</v>
      </c>
      <c r="G366" s="85">
        <f t="shared" si="57"/>
        <v>361</v>
      </c>
      <c r="H366" s="85">
        <f t="shared" si="61"/>
        <v>2009</v>
      </c>
      <c r="I366" s="85" t="s">
        <v>306</v>
      </c>
      <c r="K366">
        <f t="shared" si="55"/>
        <v>49</v>
      </c>
      <c r="L366" s="85"/>
      <c r="M366">
        <f t="shared" si="58"/>
        <v>86761</v>
      </c>
      <c r="S366" s="100">
        <f t="shared" si="62"/>
        <v>361</v>
      </c>
    </row>
    <row r="367" spans="1:20" x14ac:dyDescent="0.4">
      <c r="A367">
        <f t="shared" si="64"/>
        <v>38</v>
      </c>
      <c r="B367" s="85">
        <f t="shared" si="64"/>
        <v>362</v>
      </c>
      <c r="C367" s="85">
        <f t="shared" si="60"/>
        <v>2009</v>
      </c>
      <c r="D367" s="85" t="s">
        <v>307</v>
      </c>
      <c r="E367">
        <f t="shared" si="65"/>
        <v>2</v>
      </c>
      <c r="F367">
        <f t="shared" si="56"/>
        <v>2009.1666666666392</v>
      </c>
      <c r="G367" s="85">
        <f t="shared" si="57"/>
        <v>362</v>
      </c>
      <c r="H367" s="85">
        <f t="shared" si="61"/>
        <v>2009</v>
      </c>
      <c r="I367" s="85" t="s">
        <v>307</v>
      </c>
      <c r="K367">
        <f t="shared" si="55"/>
        <v>50</v>
      </c>
      <c r="M367">
        <f t="shared" si="58"/>
        <v>87002</v>
      </c>
      <c r="S367">
        <f t="shared" si="62"/>
        <v>362</v>
      </c>
    </row>
    <row r="368" spans="1:20" x14ac:dyDescent="0.4">
      <c r="A368">
        <f t="shared" si="64"/>
        <v>39</v>
      </c>
      <c r="B368" s="85">
        <f t="shared" si="64"/>
        <v>363</v>
      </c>
      <c r="C368" s="85">
        <f t="shared" si="60"/>
        <v>2009</v>
      </c>
      <c r="D368" s="85" t="s">
        <v>308</v>
      </c>
      <c r="E368">
        <f t="shared" si="65"/>
        <v>3</v>
      </c>
      <c r="F368">
        <f t="shared" si="56"/>
        <v>2009.2499999999725</v>
      </c>
      <c r="G368" s="85">
        <f t="shared" si="57"/>
        <v>363</v>
      </c>
      <c r="H368" s="85">
        <f t="shared" si="61"/>
        <v>2009</v>
      </c>
      <c r="I368" s="85" t="s">
        <v>308</v>
      </c>
      <c r="K368">
        <f t="shared" si="55"/>
        <v>51</v>
      </c>
      <c r="M368">
        <f t="shared" si="58"/>
        <v>87243</v>
      </c>
      <c r="S368">
        <f t="shared" si="62"/>
        <v>363</v>
      </c>
    </row>
    <row r="369" spans="1:20" x14ac:dyDescent="0.4">
      <c r="A369">
        <f t="shared" si="64"/>
        <v>40</v>
      </c>
      <c r="B369" s="85">
        <f t="shared" si="64"/>
        <v>364</v>
      </c>
      <c r="C369" s="85">
        <f t="shared" si="60"/>
        <v>2009</v>
      </c>
      <c r="D369" s="85" t="s">
        <v>309</v>
      </c>
      <c r="E369">
        <f t="shared" si="65"/>
        <v>4</v>
      </c>
      <c r="F369">
        <f t="shared" si="56"/>
        <v>2009.3333333333057</v>
      </c>
      <c r="G369" s="85">
        <f t="shared" si="57"/>
        <v>364</v>
      </c>
      <c r="H369" s="85">
        <f t="shared" si="61"/>
        <v>2009</v>
      </c>
      <c r="I369" s="85" t="s">
        <v>309</v>
      </c>
      <c r="K369">
        <f t="shared" si="55"/>
        <v>52</v>
      </c>
      <c r="M369">
        <f t="shared" si="58"/>
        <v>87484</v>
      </c>
      <c r="S369">
        <f t="shared" si="62"/>
        <v>364</v>
      </c>
    </row>
    <row r="370" spans="1:20" x14ac:dyDescent="0.4">
      <c r="A370">
        <f t="shared" si="64"/>
        <v>41</v>
      </c>
      <c r="B370" s="85">
        <f t="shared" si="64"/>
        <v>365</v>
      </c>
      <c r="C370" s="85">
        <f t="shared" si="60"/>
        <v>2009</v>
      </c>
      <c r="D370" s="85" t="s">
        <v>310</v>
      </c>
      <c r="E370">
        <f t="shared" si="65"/>
        <v>5</v>
      </c>
      <c r="F370">
        <f t="shared" si="56"/>
        <v>2009.416666666639</v>
      </c>
      <c r="G370" s="85">
        <f t="shared" si="57"/>
        <v>365</v>
      </c>
      <c r="H370" s="85">
        <f t="shared" si="61"/>
        <v>2009</v>
      </c>
      <c r="I370" s="85" t="s">
        <v>310</v>
      </c>
      <c r="K370">
        <f t="shared" si="55"/>
        <v>53</v>
      </c>
      <c r="M370">
        <f t="shared" si="58"/>
        <v>87725</v>
      </c>
      <c r="O370" s="84" t="s">
        <v>327</v>
      </c>
      <c r="S370">
        <f t="shared" si="62"/>
        <v>365</v>
      </c>
    </row>
    <row r="371" spans="1:20" x14ac:dyDescent="0.4">
      <c r="A371">
        <f t="shared" si="64"/>
        <v>42</v>
      </c>
      <c r="B371" s="85">
        <f t="shared" si="64"/>
        <v>366</v>
      </c>
      <c r="C371" s="85">
        <f t="shared" si="60"/>
        <v>2009</v>
      </c>
      <c r="D371" s="85" t="s">
        <v>311</v>
      </c>
      <c r="E371">
        <f t="shared" si="65"/>
        <v>6</v>
      </c>
      <c r="F371">
        <f t="shared" si="56"/>
        <v>2009.4999999999723</v>
      </c>
      <c r="G371" s="85">
        <f t="shared" si="57"/>
        <v>366</v>
      </c>
      <c r="H371" s="85">
        <f t="shared" si="61"/>
        <v>2009</v>
      </c>
      <c r="I371" s="85" t="s">
        <v>311</v>
      </c>
      <c r="K371">
        <f t="shared" si="55"/>
        <v>54</v>
      </c>
      <c r="M371">
        <f t="shared" si="58"/>
        <v>87966</v>
      </c>
      <c r="S371">
        <f t="shared" si="62"/>
        <v>366</v>
      </c>
    </row>
    <row r="372" spans="1:20" x14ac:dyDescent="0.4">
      <c r="A372">
        <f t="shared" si="64"/>
        <v>43</v>
      </c>
      <c r="B372" s="112">
        <f t="shared" si="64"/>
        <v>367</v>
      </c>
      <c r="C372" s="112">
        <f t="shared" si="60"/>
        <v>2009</v>
      </c>
      <c r="D372" s="112" t="s">
        <v>312</v>
      </c>
      <c r="E372">
        <f t="shared" si="65"/>
        <v>7</v>
      </c>
      <c r="F372">
        <f t="shared" si="56"/>
        <v>2009.5833333333055</v>
      </c>
      <c r="G372" s="112">
        <f t="shared" si="57"/>
        <v>367</v>
      </c>
      <c r="H372" s="112">
        <f t="shared" si="61"/>
        <v>2009</v>
      </c>
      <c r="I372" s="112" t="s">
        <v>312</v>
      </c>
      <c r="K372">
        <f t="shared" si="55"/>
        <v>55</v>
      </c>
      <c r="L372" s="88"/>
      <c r="M372">
        <f t="shared" si="58"/>
        <v>88207</v>
      </c>
      <c r="O372" s="90">
        <f>G372</f>
        <v>367</v>
      </c>
      <c r="S372">
        <f t="shared" si="62"/>
        <v>367</v>
      </c>
    </row>
    <row r="373" spans="1:20" x14ac:dyDescent="0.4">
      <c r="A373">
        <f t="shared" si="64"/>
        <v>44</v>
      </c>
      <c r="B373" s="85">
        <f t="shared" si="64"/>
        <v>368</v>
      </c>
      <c r="C373" s="85">
        <f t="shared" si="60"/>
        <v>2009</v>
      </c>
      <c r="D373" s="85" t="s">
        <v>313</v>
      </c>
      <c r="E373">
        <f t="shared" si="65"/>
        <v>8</v>
      </c>
      <c r="F373">
        <f t="shared" si="56"/>
        <v>2009.6666666666388</v>
      </c>
      <c r="G373" s="85">
        <f t="shared" si="57"/>
        <v>368</v>
      </c>
      <c r="H373" s="85">
        <f t="shared" si="61"/>
        <v>2009</v>
      </c>
      <c r="I373" s="85" t="s">
        <v>313</v>
      </c>
      <c r="K373">
        <f t="shared" si="55"/>
        <v>56</v>
      </c>
      <c r="M373">
        <f t="shared" si="58"/>
        <v>88448</v>
      </c>
      <c r="S373">
        <f t="shared" si="62"/>
        <v>368</v>
      </c>
    </row>
    <row r="374" spans="1:20" x14ac:dyDescent="0.4">
      <c r="A374">
        <f t="shared" si="64"/>
        <v>45</v>
      </c>
      <c r="B374" s="85">
        <f t="shared" si="64"/>
        <v>369</v>
      </c>
      <c r="C374" s="85">
        <f t="shared" si="60"/>
        <v>2009</v>
      </c>
      <c r="D374" s="85" t="s">
        <v>314</v>
      </c>
      <c r="E374">
        <f t="shared" si="65"/>
        <v>9</v>
      </c>
      <c r="F374">
        <f t="shared" si="56"/>
        <v>2009.749999999972</v>
      </c>
      <c r="G374" s="85">
        <f t="shared" si="57"/>
        <v>369</v>
      </c>
      <c r="H374" s="85">
        <f t="shared" si="61"/>
        <v>2009</v>
      </c>
      <c r="I374" s="85" t="s">
        <v>314</v>
      </c>
      <c r="K374">
        <f t="shared" si="55"/>
        <v>57</v>
      </c>
      <c r="M374">
        <f t="shared" si="58"/>
        <v>88689</v>
      </c>
      <c r="S374">
        <f t="shared" si="62"/>
        <v>369</v>
      </c>
    </row>
    <row r="375" spans="1:20" x14ac:dyDescent="0.4">
      <c r="A375">
        <f t="shared" si="64"/>
        <v>46</v>
      </c>
      <c r="B375" s="85">
        <f t="shared" si="64"/>
        <v>370</v>
      </c>
      <c r="C375" s="85">
        <f t="shared" si="60"/>
        <v>2009</v>
      </c>
      <c r="D375" s="85" t="s">
        <v>316</v>
      </c>
      <c r="E375">
        <f t="shared" si="65"/>
        <v>10</v>
      </c>
      <c r="F375">
        <f t="shared" si="56"/>
        <v>2009.8333333333053</v>
      </c>
      <c r="G375" s="85">
        <f t="shared" si="57"/>
        <v>370</v>
      </c>
      <c r="H375" s="85">
        <f t="shared" si="61"/>
        <v>2009</v>
      </c>
      <c r="I375" s="85" t="s">
        <v>316</v>
      </c>
      <c r="K375">
        <f t="shared" si="55"/>
        <v>58</v>
      </c>
      <c r="M375">
        <f t="shared" si="58"/>
        <v>88930</v>
      </c>
      <c r="S375">
        <f t="shared" si="62"/>
        <v>370</v>
      </c>
    </row>
    <row r="376" spans="1:20" x14ac:dyDescent="0.4">
      <c r="A376">
        <f t="shared" si="64"/>
        <v>47</v>
      </c>
      <c r="B376" s="85">
        <f t="shared" si="64"/>
        <v>371</v>
      </c>
      <c r="C376" s="85">
        <f t="shared" si="60"/>
        <v>2009</v>
      </c>
      <c r="D376" s="85" t="s">
        <v>317</v>
      </c>
      <c r="E376">
        <f t="shared" si="65"/>
        <v>11</v>
      </c>
      <c r="F376">
        <f t="shared" si="56"/>
        <v>2009.9166666666385</v>
      </c>
      <c r="G376" s="85">
        <f t="shared" si="57"/>
        <v>371</v>
      </c>
      <c r="H376" s="85">
        <f t="shared" si="61"/>
        <v>2009</v>
      </c>
      <c r="I376" s="85" t="s">
        <v>317</v>
      </c>
      <c r="K376">
        <f t="shared" si="55"/>
        <v>59</v>
      </c>
      <c r="M376">
        <f t="shared" si="58"/>
        <v>89171</v>
      </c>
      <c r="S376">
        <f t="shared" si="62"/>
        <v>371</v>
      </c>
    </row>
    <row r="377" spans="1:20" x14ac:dyDescent="0.4">
      <c r="A377">
        <f t="shared" si="64"/>
        <v>48</v>
      </c>
      <c r="B377" s="85">
        <f t="shared" si="64"/>
        <v>372</v>
      </c>
      <c r="C377" s="85">
        <f t="shared" si="60"/>
        <v>2009</v>
      </c>
      <c r="D377" s="85" t="s">
        <v>319</v>
      </c>
      <c r="E377">
        <f t="shared" si="65"/>
        <v>12</v>
      </c>
      <c r="F377">
        <f t="shared" si="56"/>
        <v>2009.9999999999718</v>
      </c>
      <c r="G377" s="91">
        <f t="shared" si="57"/>
        <v>372</v>
      </c>
      <c r="H377" s="91">
        <f t="shared" si="61"/>
        <v>2009</v>
      </c>
      <c r="I377" s="91" t="s">
        <v>319</v>
      </c>
      <c r="K377" s="42">
        <f t="shared" si="55"/>
        <v>60</v>
      </c>
      <c r="L377" s="42"/>
      <c r="M377">
        <f t="shared" si="58"/>
        <v>89412</v>
      </c>
      <c r="O377" s="92"/>
      <c r="P377" s="42">
        <f>P365+1</f>
        <v>9</v>
      </c>
      <c r="Q377" s="42"/>
      <c r="R377" s="42"/>
      <c r="S377" s="100">
        <f t="shared" si="62"/>
        <v>372</v>
      </c>
      <c r="T377" s="42"/>
    </row>
    <row r="378" spans="1:20" x14ac:dyDescent="0.4">
      <c r="A378">
        <f t="shared" si="64"/>
        <v>49</v>
      </c>
      <c r="B378" s="57">
        <f t="shared" si="64"/>
        <v>373</v>
      </c>
      <c r="C378" s="57">
        <f t="shared" si="60"/>
        <v>2010</v>
      </c>
      <c r="D378" s="57" t="s">
        <v>306</v>
      </c>
      <c r="E378">
        <f t="shared" si="65"/>
        <v>13</v>
      </c>
      <c r="F378">
        <f t="shared" si="56"/>
        <v>2010.0833333333051</v>
      </c>
      <c r="G378" s="57">
        <f t="shared" si="57"/>
        <v>373</v>
      </c>
      <c r="H378" s="57">
        <f t="shared" si="61"/>
        <v>2010</v>
      </c>
      <c r="I378" s="57" t="s">
        <v>306</v>
      </c>
      <c r="J378">
        <v>1</v>
      </c>
      <c r="K378">
        <v>1</v>
      </c>
      <c r="L378">
        <v>1</v>
      </c>
      <c r="M378">
        <f t="shared" si="58"/>
        <v>89653</v>
      </c>
      <c r="S378" s="100">
        <f t="shared" si="62"/>
        <v>373</v>
      </c>
    </row>
    <row r="379" spans="1:20" x14ac:dyDescent="0.4">
      <c r="A379">
        <f t="shared" si="64"/>
        <v>50</v>
      </c>
      <c r="B379" s="57">
        <f t="shared" si="64"/>
        <v>374</v>
      </c>
      <c r="C379" s="57">
        <f t="shared" si="60"/>
        <v>2010</v>
      </c>
      <c r="D379" s="57" t="s">
        <v>307</v>
      </c>
      <c r="E379">
        <f t="shared" si="65"/>
        <v>14</v>
      </c>
      <c r="F379">
        <f t="shared" si="56"/>
        <v>2010.1666666666383</v>
      </c>
      <c r="G379" s="57">
        <f t="shared" si="57"/>
        <v>374</v>
      </c>
      <c r="H379" s="57">
        <f t="shared" si="61"/>
        <v>2010</v>
      </c>
      <c r="I379" s="57" t="s">
        <v>307</v>
      </c>
      <c r="J379">
        <f>J378+1</f>
        <v>2</v>
      </c>
      <c r="K379">
        <f>K378+1</f>
        <v>2</v>
      </c>
      <c r="L379">
        <f>L378+1</f>
        <v>2</v>
      </c>
      <c r="M379">
        <f t="shared" si="58"/>
        <v>89894</v>
      </c>
      <c r="S379">
        <f t="shared" si="62"/>
        <v>374</v>
      </c>
    </row>
    <row r="380" spans="1:20" x14ac:dyDescent="0.4">
      <c r="A380">
        <f t="shared" ref="A380:B395" si="66">A379+1</f>
        <v>51</v>
      </c>
      <c r="B380" s="57">
        <f t="shared" si="66"/>
        <v>375</v>
      </c>
      <c r="C380" s="57">
        <f t="shared" si="60"/>
        <v>2010</v>
      </c>
      <c r="D380" s="57" t="s">
        <v>308</v>
      </c>
      <c r="E380">
        <f t="shared" si="65"/>
        <v>15</v>
      </c>
      <c r="F380">
        <f t="shared" si="56"/>
        <v>2010.2499999999716</v>
      </c>
      <c r="G380" s="57">
        <f t="shared" si="57"/>
        <v>375</v>
      </c>
      <c r="H380" s="57">
        <f t="shared" si="61"/>
        <v>2010</v>
      </c>
      <c r="I380" s="57" t="s">
        <v>308</v>
      </c>
      <c r="K380">
        <f t="shared" ref="K380:L437" si="67">K379+1</f>
        <v>3</v>
      </c>
      <c r="L380">
        <f t="shared" si="67"/>
        <v>3</v>
      </c>
      <c r="M380">
        <f t="shared" si="58"/>
        <v>90135</v>
      </c>
      <c r="S380">
        <f t="shared" si="62"/>
        <v>375</v>
      </c>
    </row>
    <row r="381" spans="1:20" x14ac:dyDescent="0.4">
      <c r="A381">
        <f t="shared" si="66"/>
        <v>52</v>
      </c>
      <c r="B381" s="57">
        <f t="shared" si="66"/>
        <v>376</v>
      </c>
      <c r="C381" s="57">
        <f t="shared" si="60"/>
        <v>2010</v>
      </c>
      <c r="D381" s="57" t="s">
        <v>309</v>
      </c>
      <c r="E381">
        <f t="shared" si="65"/>
        <v>16</v>
      </c>
      <c r="F381">
        <f t="shared" si="56"/>
        <v>2010.3333333333048</v>
      </c>
      <c r="G381" s="57">
        <f t="shared" si="57"/>
        <v>376</v>
      </c>
      <c r="H381" s="57">
        <f t="shared" si="61"/>
        <v>2010</v>
      </c>
      <c r="I381" s="57" t="s">
        <v>309</v>
      </c>
      <c r="K381">
        <f t="shared" si="67"/>
        <v>4</v>
      </c>
      <c r="L381">
        <f t="shared" si="67"/>
        <v>4</v>
      </c>
      <c r="M381">
        <f t="shared" si="58"/>
        <v>90376</v>
      </c>
      <c r="S381">
        <f t="shared" si="62"/>
        <v>376</v>
      </c>
    </row>
    <row r="382" spans="1:20" x14ac:dyDescent="0.4">
      <c r="A382">
        <f t="shared" si="66"/>
        <v>53</v>
      </c>
      <c r="B382" s="57">
        <f t="shared" si="66"/>
        <v>377</v>
      </c>
      <c r="C382" s="57">
        <f t="shared" si="60"/>
        <v>2010</v>
      </c>
      <c r="D382" s="57" t="s">
        <v>310</v>
      </c>
      <c r="E382">
        <f t="shared" si="65"/>
        <v>17</v>
      </c>
      <c r="F382">
        <f t="shared" si="56"/>
        <v>2010.4166666666381</v>
      </c>
      <c r="G382" s="57">
        <f t="shared" si="57"/>
        <v>377</v>
      </c>
      <c r="H382" s="57">
        <f t="shared" si="61"/>
        <v>2010</v>
      </c>
      <c r="I382" s="57" t="s">
        <v>310</v>
      </c>
      <c r="K382">
        <f t="shared" si="67"/>
        <v>5</v>
      </c>
      <c r="L382">
        <f t="shared" si="67"/>
        <v>5</v>
      </c>
      <c r="M382">
        <f t="shared" si="58"/>
        <v>90617</v>
      </c>
      <c r="S382">
        <f t="shared" si="62"/>
        <v>377</v>
      </c>
    </row>
    <row r="383" spans="1:20" x14ac:dyDescent="0.4">
      <c r="A383">
        <f t="shared" si="66"/>
        <v>54</v>
      </c>
      <c r="B383" s="57">
        <f t="shared" si="66"/>
        <v>378</v>
      </c>
      <c r="C383" s="57">
        <f t="shared" si="60"/>
        <v>2010</v>
      </c>
      <c r="D383" s="57" t="s">
        <v>311</v>
      </c>
      <c r="E383">
        <f t="shared" si="65"/>
        <v>18</v>
      </c>
      <c r="F383">
        <f t="shared" si="56"/>
        <v>2010.4999999999714</v>
      </c>
      <c r="G383" s="57">
        <f t="shared" si="57"/>
        <v>378</v>
      </c>
      <c r="H383" s="57">
        <f t="shared" si="61"/>
        <v>2010</v>
      </c>
      <c r="I383" s="57" t="s">
        <v>311</v>
      </c>
      <c r="K383">
        <f t="shared" si="67"/>
        <v>6</v>
      </c>
      <c r="L383">
        <f t="shared" si="67"/>
        <v>6</v>
      </c>
      <c r="M383">
        <f t="shared" si="58"/>
        <v>90858</v>
      </c>
      <c r="S383">
        <f t="shared" si="62"/>
        <v>378</v>
      </c>
    </row>
    <row r="384" spans="1:20" x14ac:dyDescent="0.4">
      <c r="A384">
        <f t="shared" si="66"/>
        <v>55</v>
      </c>
      <c r="B384" s="113">
        <f t="shared" si="66"/>
        <v>379</v>
      </c>
      <c r="C384" s="57">
        <f t="shared" si="60"/>
        <v>2010</v>
      </c>
      <c r="D384" s="57" t="s">
        <v>312</v>
      </c>
      <c r="E384">
        <f t="shared" si="65"/>
        <v>19</v>
      </c>
      <c r="F384">
        <f t="shared" si="56"/>
        <v>2010.5833333333046</v>
      </c>
      <c r="G384" s="113">
        <f t="shared" si="57"/>
        <v>379</v>
      </c>
      <c r="H384" s="57">
        <f t="shared" si="61"/>
        <v>2010</v>
      </c>
      <c r="I384" s="57" t="s">
        <v>312</v>
      </c>
      <c r="K384">
        <f t="shared" si="67"/>
        <v>7</v>
      </c>
      <c r="L384">
        <f t="shared" si="67"/>
        <v>7</v>
      </c>
      <c r="M384">
        <f t="shared" si="58"/>
        <v>91099</v>
      </c>
      <c r="O384" s="84">
        <f>G384</f>
        <v>379</v>
      </c>
      <c r="S384">
        <f t="shared" si="62"/>
        <v>379</v>
      </c>
    </row>
    <row r="385" spans="1:20" x14ac:dyDescent="0.4">
      <c r="A385">
        <f t="shared" si="66"/>
        <v>56</v>
      </c>
      <c r="B385" s="57">
        <f t="shared" si="66"/>
        <v>380</v>
      </c>
      <c r="C385" s="57">
        <f t="shared" si="60"/>
        <v>2010</v>
      </c>
      <c r="D385" s="57" t="s">
        <v>313</v>
      </c>
      <c r="E385">
        <f t="shared" si="65"/>
        <v>20</v>
      </c>
      <c r="F385">
        <f t="shared" si="56"/>
        <v>2010.6666666666379</v>
      </c>
      <c r="G385" s="57">
        <f t="shared" si="57"/>
        <v>380</v>
      </c>
      <c r="H385" s="57">
        <f t="shared" si="61"/>
        <v>2010</v>
      </c>
      <c r="I385" s="57" t="s">
        <v>313</v>
      </c>
      <c r="K385">
        <f t="shared" si="67"/>
        <v>8</v>
      </c>
      <c r="L385">
        <f t="shared" si="67"/>
        <v>8</v>
      </c>
      <c r="M385">
        <f t="shared" si="58"/>
        <v>91340</v>
      </c>
      <c r="S385">
        <f t="shared" si="62"/>
        <v>380</v>
      </c>
    </row>
    <row r="386" spans="1:20" x14ac:dyDescent="0.4">
      <c r="A386">
        <f t="shared" si="66"/>
        <v>57</v>
      </c>
      <c r="B386" s="57">
        <f t="shared" si="66"/>
        <v>381</v>
      </c>
      <c r="C386" s="57">
        <f t="shared" si="60"/>
        <v>2010</v>
      </c>
      <c r="D386" s="57" t="s">
        <v>314</v>
      </c>
      <c r="E386">
        <f t="shared" si="65"/>
        <v>21</v>
      </c>
      <c r="F386">
        <f t="shared" si="56"/>
        <v>2010.7499999999711</v>
      </c>
      <c r="G386" s="57">
        <f t="shared" si="57"/>
        <v>381</v>
      </c>
      <c r="H386" s="57">
        <f t="shared" si="61"/>
        <v>2010</v>
      </c>
      <c r="I386" s="57" t="s">
        <v>314</v>
      </c>
      <c r="K386">
        <f t="shared" si="67"/>
        <v>9</v>
      </c>
      <c r="L386">
        <f t="shared" si="67"/>
        <v>9</v>
      </c>
      <c r="M386">
        <f t="shared" si="58"/>
        <v>91581</v>
      </c>
      <c r="S386">
        <f t="shared" si="62"/>
        <v>381</v>
      </c>
    </row>
    <row r="387" spans="1:20" x14ac:dyDescent="0.4">
      <c r="A387">
        <f t="shared" si="66"/>
        <v>58</v>
      </c>
      <c r="B387" s="57">
        <f t="shared" si="66"/>
        <v>382</v>
      </c>
      <c r="C387" s="57">
        <f t="shared" si="60"/>
        <v>2010</v>
      </c>
      <c r="D387" s="57" t="s">
        <v>316</v>
      </c>
      <c r="E387">
        <f t="shared" si="65"/>
        <v>22</v>
      </c>
      <c r="F387">
        <f t="shared" si="56"/>
        <v>2010.8333333333044</v>
      </c>
      <c r="G387" s="57">
        <f t="shared" si="57"/>
        <v>382</v>
      </c>
      <c r="H387" s="57">
        <f t="shared" si="61"/>
        <v>2010</v>
      </c>
      <c r="I387" s="57" t="s">
        <v>316</v>
      </c>
      <c r="K387">
        <f t="shared" si="67"/>
        <v>10</v>
      </c>
      <c r="L387">
        <f t="shared" si="67"/>
        <v>10</v>
      </c>
      <c r="M387">
        <f t="shared" si="58"/>
        <v>91822</v>
      </c>
      <c r="S387">
        <f t="shared" si="62"/>
        <v>382</v>
      </c>
    </row>
    <row r="388" spans="1:20" x14ac:dyDescent="0.4">
      <c r="A388">
        <f t="shared" si="66"/>
        <v>59</v>
      </c>
      <c r="B388" s="57">
        <f t="shared" si="66"/>
        <v>383</v>
      </c>
      <c r="C388" s="57">
        <f t="shared" si="60"/>
        <v>2010</v>
      </c>
      <c r="D388" s="57" t="s">
        <v>317</v>
      </c>
      <c r="E388">
        <f t="shared" si="65"/>
        <v>23</v>
      </c>
      <c r="F388">
        <f t="shared" si="56"/>
        <v>2010.9166666666376</v>
      </c>
      <c r="G388" s="57">
        <f t="shared" si="57"/>
        <v>383</v>
      </c>
      <c r="H388" s="57">
        <f t="shared" si="61"/>
        <v>2010</v>
      </c>
      <c r="I388" s="57" t="s">
        <v>317</v>
      </c>
      <c r="K388">
        <f t="shared" si="67"/>
        <v>11</v>
      </c>
      <c r="L388">
        <f t="shared" si="67"/>
        <v>11</v>
      </c>
      <c r="M388">
        <f t="shared" si="58"/>
        <v>92063</v>
      </c>
      <c r="S388">
        <f t="shared" si="62"/>
        <v>383</v>
      </c>
    </row>
    <row r="389" spans="1:20" x14ac:dyDescent="0.4">
      <c r="A389">
        <f t="shared" si="66"/>
        <v>60</v>
      </c>
      <c r="B389" s="93">
        <f t="shared" si="66"/>
        <v>384</v>
      </c>
      <c r="C389" s="57">
        <f t="shared" si="60"/>
        <v>2010</v>
      </c>
      <c r="D389" s="57" t="s">
        <v>319</v>
      </c>
      <c r="E389">
        <f t="shared" si="65"/>
        <v>24</v>
      </c>
      <c r="F389">
        <f t="shared" si="56"/>
        <v>2010.9999999999709</v>
      </c>
      <c r="G389" s="93">
        <f t="shared" si="57"/>
        <v>384</v>
      </c>
      <c r="H389" s="101">
        <f t="shared" si="61"/>
        <v>2010</v>
      </c>
      <c r="I389" s="101" t="s">
        <v>319</v>
      </c>
      <c r="K389" s="42">
        <f t="shared" si="67"/>
        <v>12</v>
      </c>
      <c r="L389" s="42">
        <f t="shared" si="67"/>
        <v>12</v>
      </c>
      <c r="M389">
        <f t="shared" si="58"/>
        <v>92304</v>
      </c>
      <c r="O389" s="92"/>
      <c r="P389" s="42">
        <f>P377+1</f>
        <v>10</v>
      </c>
      <c r="Q389" s="42"/>
      <c r="R389" s="42"/>
      <c r="S389" s="100">
        <f t="shared" si="62"/>
        <v>384</v>
      </c>
      <c r="T389" s="42"/>
    </row>
    <row r="390" spans="1:20" x14ac:dyDescent="0.4">
      <c r="A390">
        <v>1</v>
      </c>
      <c r="B390" s="114">
        <f t="shared" si="66"/>
        <v>385</v>
      </c>
      <c r="C390" s="115">
        <f t="shared" si="60"/>
        <v>2011</v>
      </c>
      <c r="D390" s="115" t="s">
        <v>306</v>
      </c>
      <c r="E390">
        <f t="shared" si="65"/>
        <v>25</v>
      </c>
      <c r="F390">
        <f t="shared" si="56"/>
        <v>2011.0833333333042</v>
      </c>
      <c r="G390" s="114">
        <f t="shared" si="57"/>
        <v>385</v>
      </c>
      <c r="H390" s="115">
        <f t="shared" si="61"/>
        <v>2011</v>
      </c>
      <c r="I390" s="115" t="s">
        <v>306</v>
      </c>
      <c r="K390">
        <f t="shared" si="67"/>
        <v>13</v>
      </c>
      <c r="L390">
        <f t="shared" si="67"/>
        <v>13</v>
      </c>
      <c r="M390">
        <f t="shared" si="58"/>
        <v>92545</v>
      </c>
      <c r="S390" s="100">
        <f t="shared" si="62"/>
        <v>385</v>
      </c>
    </row>
    <row r="391" spans="1:20" x14ac:dyDescent="0.4">
      <c r="A391">
        <f>A390+1</f>
        <v>2</v>
      </c>
      <c r="B391" s="115">
        <f t="shared" si="66"/>
        <v>386</v>
      </c>
      <c r="C391" s="115">
        <f t="shared" si="60"/>
        <v>2011</v>
      </c>
      <c r="D391" s="115" t="s">
        <v>307</v>
      </c>
      <c r="E391">
        <f t="shared" si="65"/>
        <v>26</v>
      </c>
      <c r="F391">
        <f t="shared" si="56"/>
        <v>2011.1666666666374</v>
      </c>
      <c r="G391" s="115">
        <f t="shared" si="57"/>
        <v>386</v>
      </c>
      <c r="H391" s="115">
        <f t="shared" si="61"/>
        <v>2011</v>
      </c>
      <c r="I391" s="115" t="s">
        <v>307</v>
      </c>
      <c r="K391">
        <f t="shared" si="67"/>
        <v>14</v>
      </c>
      <c r="L391">
        <f t="shared" si="67"/>
        <v>14</v>
      </c>
      <c r="M391">
        <f t="shared" si="58"/>
        <v>92786</v>
      </c>
      <c r="S391">
        <f t="shared" si="62"/>
        <v>386</v>
      </c>
    </row>
    <row r="392" spans="1:20" x14ac:dyDescent="0.4">
      <c r="A392">
        <f t="shared" ref="A392:B407" si="68">A391+1</f>
        <v>3</v>
      </c>
      <c r="B392" s="115">
        <f t="shared" si="66"/>
        <v>387</v>
      </c>
      <c r="C392" s="115">
        <f t="shared" si="60"/>
        <v>2011</v>
      </c>
      <c r="D392" s="115" t="s">
        <v>308</v>
      </c>
      <c r="E392">
        <f t="shared" si="65"/>
        <v>27</v>
      </c>
      <c r="F392">
        <f t="shared" ref="F392:F437" si="69">F391+1/12</f>
        <v>2011.2499999999707</v>
      </c>
      <c r="G392" s="115">
        <f t="shared" ref="G392:G455" si="70">G391+1</f>
        <v>387</v>
      </c>
      <c r="H392" s="115">
        <f t="shared" si="61"/>
        <v>2011</v>
      </c>
      <c r="I392" s="115" t="s">
        <v>308</v>
      </c>
      <c r="K392">
        <f t="shared" si="67"/>
        <v>15</v>
      </c>
      <c r="L392">
        <f t="shared" si="67"/>
        <v>15</v>
      </c>
      <c r="M392">
        <f t="shared" ref="M392:M455" si="71">M391+241</f>
        <v>93027</v>
      </c>
      <c r="S392">
        <f t="shared" si="62"/>
        <v>387</v>
      </c>
    </row>
    <row r="393" spans="1:20" x14ac:dyDescent="0.4">
      <c r="A393">
        <f t="shared" si="68"/>
        <v>4</v>
      </c>
      <c r="B393" s="115">
        <f t="shared" si="66"/>
        <v>388</v>
      </c>
      <c r="C393" s="115">
        <f t="shared" si="60"/>
        <v>2011</v>
      </c>
      <c r="D393" s="115" t="s">
        <v>309</v>
      </c>
      <c r="E393">
        <f t="shared" si="65"/>
        <v>28</v>
      </c>
      <c r="F393">
        <f t="shared" si="69"/>
        <v>2011.3333333333039</v>
      </c>
      <c r="G393" s="115">
        <f t="shared" si="70"/>
        <v>388</v>
      </c>
      <c r="H393" s="115">
        <f t="shared" si="61"/>
        <v>2011</v>
      </c>
      <c r="I393" s="115" t="s">
        <v>309</v>
      </c>
      <c r="K393">
        <f t="shared" si="67"/>
        <v>16</v>
      </c>
      <c r="L393">
        <f t="shared" si="67"/>
        <v>16</v>
      </c>
      <c r="M393">
        <f t="shared" si="71"/>
        <v>93268</v>
      </c>
      <c r="S393">
        <f t="shared" si="62"/>
        <v>388</v>
      </c>
    </row>
    <row r="394" spans="1:20" x14ac:dyDescent="0.4">
      <c r="A394">
        <f t="shared" si="68"/>
        <v>5</v>
      </c>
      <c r="B394" s="115">
        <f t="shared" si="66"/>
        <v>389</v>
      </c>
      <c r="C394" s="115">
        <f t="shared" si="60"/>
        <v>2011</v>
      </c>
      <c r="D394" s="115" t="s">
        <v>310</v>
      </c>
      <c r="E394">
        <f t="shared" si="65"/>
        <v>29</v>
      </c>
      <c r="F394">
        <f t="shared" si="69"/>
        <v>2011.4166666666372</v>
      </c>
      <c r="G394" s="115">
        <f t="shared" si="70"/>
        <v>389</v>
      </c>
      <c r="H394" s="115">
        <f t="shared" si="61"/>
        <v>2011</v>
      </c>
      <c r="I394" s="115" t="s">
        <v>310</v>
      </c>
      <c r="K394">
        <f t="shared" si="67"/>
        <v>17</v>
      </c>
      <c r="L394">
        <f t="shared" si="67"/>
        <v>17</v>
      </c>
      <c r="M394">
        <f t="shared" si="71"/>
        <v>93509</v>
      </c>
      <c r="S394">
        <f t="shared" si="62"/>
        <v>389</v>
      </c>
    </row>
    <row r="395" spans="1:20" x14ac:dyDescent="0.4">
      <c r="A395">
        <f t="shared" si="68"/>
        <v>6</v>
      </c>
      <c r="B395" s="115">
        <f t="shared" si="66"/>
        <v>390</v>
      </c>
      <c r="C395" s="115">
        <f t="shared" si="60"/>
        <v>2011</v>
      </c>
      <c r="D395" s="115" t="s">
        <v>311</v>
      </c>
      <c r="E395">
        <f t="shared" si="65"/>
        <v>30</v>
      </c>
      <c r="F395">
        <f t="shared" si="69"/>
        <v>2011.4999999999704</v>
      </c>
      <c r="G395" s="115">
        <f t="shared" si="70"/>
        <v>390</v>
      </c>
      <c r="H395" s="115">
        <f t="shared" si="61"/>
        <v>2011</v>
      </c>
      <c r="I395" s="115" t="s">
        <v>311</v>
      </c>
      <c r="K395">
        <f t="shared" si="67"/>
        <v>18</v>
      </c>
      <c r="L395">
        <f t="shared" si="67"/>
        <v>18</v>
      </c>
      <c r="M395">
        <f t="shared" si="71"/>
        <v>93750</v>
      </c>
      <c r="S395">
        <f t="shared" si="62"/>
        <v>390</v>
      </c>
    </row>
    <row r="396" spans="1:20" x14ac:dyDescent="0.4">
      <c r="A396">
        <f t="shared" si="68"/>
        <v>7</v>
      </c>
      <c r="B396" s="115">
        <f t="shared" si="68"/>
        <v>391</v>
      </c>
      <c r="C396" s="115">
        <f t="shared" si="60"/>
        <v>2011</v>
      </c>
      <c r="D396" s="115" t="s">
        <v>312</v>
      </c>
      <c r="E396">
        <f t="shared" si="65"/>
        <v>31</v>
      </c>
      <c r="F396">
        <f t="shared" si="69"/>
        <v>2011.5833333333037</v>
      </c>
      <c r="G396" s="115">
        <f t="shared" si="70"/>
        <v>391</v>
      </c>
      <c r="H396" s="115">
        <f t="shared" si="61"/>
        <v>2011</v>
      </c>
      <c r="I396" s="115" t="s">
        <v>312</v>
      </c>
      <c r="K396">
        <f t="shared" si="67"/>
        <v>19</v>
      </c>
      <c r="L396">
        <f t="shared" si="67"/>
        <v>19</v>
      </c>
      <c r="M396">
        <f t="shared" si="71"/>
        <v>93991</v>
      </c>
      <c r="S396">
        <f t="shared" si="62"/>
        <v>391</v>
      </c>
    </row>
    <row r="397" spans="1:20" x14ac:dyDescent="0.4">
      <c r="A397">
        <f t="shared" si="68"/>
        <v>8</v>
      </c>
      <c r="B397" s="115">
        <f t="shared" si="68"/>
        <v>392</v>
      </c>
      <c r="C397" s="115">
        <f t="shared" si="60"/>
        <v>2011</v>
      </c>
      <c r="D397" s="115" t="s">
        <v>313</v>
      </c>
      <c r="E397">
        <f t="shared" si="65"/>
        <v>32</v>
      </c>
      <c r="F397">
        <f t="shared" si="69"/>
        <v>2011.666666666637</v>
      </c>
      <c r="G397" s="115">
        <f t="shared" si="70"/>
        <v>392</v>
      </c>
      <c r="H397" s="115">
        <f t="shared" si="61"/>
        <v>2011</v>
      </c>
      <c r="I397" s="115" t="s">
        <v>313</v>
      </c>
      <c r="K397">
        <f t="shared" si="67"/>
        <v>20</v>
      </c>
      <c r="L397">
        <f t="shared" si="67"/>
        <v>20</v>
      </c>
      <c r="M397">
        <f t="shared" si="71"/>
        <v>94232</v>
      </c>
      <c r="S397">
        <f t="shared" si="62"/>
        <v>392</v>
      </c>
    </row>
    <row r="398" spans="1:20" x14ac:dyDescent="0.4">
      <c r="A398">
        <f t="shared" si="68"/>
        <v>9</v>
      </c>
      <c r="B398" s="115">
        <f t="shared" si="68"/>
        <v>393</v>
      </c>
      <c r="C398" s="115">
        <f t="shared" si="60"/>
        <v>2011</v>
      </c>
      <c r="D398" s="115" t="s">
        <v>314</v>
      </c>
      <c r="E398">
        <f t="shared" si="65"/>
        <v>33</v>
      </c>
      <c r="F398">
        <f t="shared" si="69"/>
        <v>2011.7499999999702</v>
      </c>
      <c r="G398" s="115">
        <f t="shared" si="70"/>
        <v>393</v>
      </c>
      <c r="H398" s="115">
        <f t="shared" si="61"/>
        <v>2011</v>
      </c>
      <c r="I398" s="115" t="s">
        <v>314</v>
      </c>
      <c r="K398">
        <f t="shared" si="67"/>
        <v>21</v>
      </c>
      <c r="L398">
        <f t="shared" si="67"/>
        <v>21</v>
      </c>
      <c r="M398">
        <f t="shared" si="71"/>
        <v>94473</v>
      </c>
      <c r="S398">
        <f t="shared" si="62"/>
        <v>393</v>
      </c>
    </row>
    <row r="399" spans="1:20" x14ac:dyDescent="0.4">
      <c r="A399">
        <f t="shared" si="68"/>
        <v>10</v>
      </c>
      <c r="B399" s="115">
        <f t="shared" si="68"/>
        <v>394</v>
      </c>
      <c r="C399" s="115">
        <f t="shared" si="60"/>
        <v>2011</v>
      </c>
      <c r="D399" s="115" t="s">
        <v>316</v>
      </c>
      <c r="E399">
        <f t="shared" si="65"/>
        <v>34</v>
      </c>
      <c r="F399">
        <f t="shared" si="69"/>
        <v>2011.8333333333035</v>
      </c>
      <c r="G399" s="115">
        <f t="shared" si="70"/>
        <v>394</v>
      </c>
      <c r="H399" s="115">
        <f t="shared" si="61"/>
        <v>2011</v>
      </c>
      <c r="I399" s="115" t="s">
        <v>316</v>
      </c>
      <c r="K399">
        <f t="shared" si="67"/>
        <v>22</v>
      </c>
      <c r="L399">
        <f t="shared" si="67"/>
        <v>22</v>
      </c>
      <c r="M399">
        <f t="shared" si="71"/>
        <v>94714</v>
      </c>
      <c r="S399">
        <f t="shared" si="62"/>
        <v>394</v>
      </c>
    </row>
    <row r="400" spans="1:20" x14ac:dyDescent="0.4">
      <c r="A400">
        <f t="shared" si="68"/>
        <v>11</v>
      </c>
      <c r="B400" s="115">
        <f t="shared" si="68"/>
        <v>395</v>
      </c>
      <c r="C400" s="115">
        <f t="shared" si="60"/>
        <v>2011</v>
      </c>
      <c r="D400" s="115" t="s">
        <v>317</v>
      </c>
      <c r="E400">
        <f t="shared" si="65"/>
        <v>35</v>
      </c>
      <c r="F400">
        <f t="shared" si="69"/>
        <v>2011.9166666666367</v>
      </c>
      <c r="G400" s="115">
        <f t="shared" si="70"/>
        <v>395</v>
      </c>
      <c r="H400" s="115">
        <f t="shared" si="61"/>
        <v>2011</v>
      </c>
      <c r="I400" s="115" t="s">
        <v>317</v>
      </c>
      <c r="K400">
        <f t="shared" si="67"/>
        <v>23</v>
      </c>
      <c r="L400">
        <f t="shared" si="67"/>
        <v>23</v>
      </c>
      <c r="M400">
        <f t="shared" si="71"/>
        <v>94955</v>
      </c>
      <c r="S400">
        <f t="shared" si="62"/>
        <v>395</v>
      </c>
    </row>
    <row r="401" spans="1:20" x14ac:dyDescent="0.4">
      <c r="A401">
        <f t="shared" si="68"/>
        <v>12</v>
      </c>
      <c r="B401" s="115">
        <f t="shared" si="68"/>
        <v>396</v>
      </c>
      <c r="C401" s="115">
        <f t="shared" si="60"/>
        <v>2011</v>
      </c>
      <c r="D401" s="115" t="s">
        <v>319</v>
      </c>
      <c r="E401">
        <f t="shared" si="65"/>
        <v>36</v>
      </c>
      <c r="F401">
        <f t="shared" si="69"/>
        <v>2011.99999999997</v>
      </c>
      <c r="G401" s="115">
        <f t="shared" si="70"/>
        <v>396</v>
      </c>
      <c r="H401" s="116">
        <f t="shared" si="61"/>
        <v>2011</v>
      </c>
      <c r="I401" s="116" t="s">
        <v>319</v>
      </c>
      <c r="K401" s="42">
        <f t="shared" si="67"/>
        <v>24</v>
      </c>
      <c r="L401" s="42">
        <f t="shared" si="67"/>
        <v>24</v>
      </c>
      <c r="M401">
        <f t="shared" si="71"/>
        <v>95196</v>
      </c>
      <c r="O401" s="92"/>
      <c r="P401" s="42">
        <f>P389+1</f>
        <v>11</v>
      </c>
      <c r="Q401" s="42"/>
      <c r="R401" s="42"/>
      <c r="S401" s="100">
        <f t="shared" si="62"/>
        <v>396</v>
      </c>
      <c r="T401" s="42"/>
    </row>
    <row r="402" spans="1:20" x14ac:dyDescent="0.4">
      <c r="A402">
        <f t="shared" si="68"/>
        <v>13</v>
      </c>
      <c r="B402" s="57">
        <f t="shared" si="68"/>
        <v>397</v>
      </c>
      <c r="C402" s="57">
        <f t="shared" si="60"/>
        <v>2012</v>
      </c>
      <c r="D402" s="57" t="s">
        <v>306</v>
      </c>
      <c r="E402">
        <f t="shared" si="65"/>
        <v>37</v>
      </c>
      <c r="F402">
        <f t="shared" si="69"/>
        <v>2012.0833333333032</v>
      </c>
      <c r="G402" s="57">
        <f t="shared" si="70"/>
        <v>397</v>
      </c>
      <c r="H402" s="57">
        <f t="shared" si="61"/>
        <v>2012</v>
      </c>
      <c r="I402" s="57" t="s">
        <v>306</v>
      </c>
      <c r="K402">
        <f t="shared" si="67"/>
        <v>25</v>
      </c>
      <c r="L402">
        <f t="shared" si="67"/>
        <v>25</v>
      </c>
      <c r="M402">
        <f t="shared" si="71"/>
        <v>95437</v>
      </c>
      <c r="S402" s="100">
        <f t="shared" si="62"/>
        <v>397</v>
      </c>
    </row>
    <row r="403" spans="1:20" x14ac:dyDescent="0.4">
      <c r="A403">
        <f t="shared" si="68"/>
        <v>14</v>
      </c>
      <c r="B403" s="57">
        <f t="shared" si="68"/>
        <v>398</v>
      </c>
      <c r="C403" s="57">
        <f t="shared" ref="C403:C442" si="72">C391+1</f>
        <v>2012</v>
      </c>
      <c r="D403" s="57" t="s">
        <v>307</v>
      </c>
      <c r="E403">
        <f t="shared" si="65"/>
        <v>38</v>
      </c>
      <c r="F403">
        <f t="shared" si="69"/>
        <v>2012.1666666666365</v>
      </c>
      <c r="G403" s="57">
        <f t="shared" si="70"/>
        <v>398</v>
      </c>
      <c r="H403" s="57">
        <f t="shared" ref="H403:H466" si="73">H391+1</f>
        <v>2012</v>
      </c>
      <c r="I403" s="57" t="s">
        <v>307</v>
      </c>
      <c r="K403">
        <f t="shared" si="67"/>
        <v>26</v>
      </c>
      <c r="L403">
        <f t="shared" si="67"/>
        <v>26</v>
      </c>
      <c r="M403">
        <f t="shared" si="71"/>
        <v>95678</v>
      </c>
      <c r="S403">
        <f t="shared" si="62"/>
        <v>398</v>
      </c>
    </row>
    <row r="404" spans="1:20" x14ac:dyDescent="0.4">
      <c r="A404">
        <f t="shared" si="68"/>
        <v>15</v>
      </c>
      <c r="B404" s="57">
        <f t="shared" si="68"/>
        <v>399</v>
      </c>
      <c r="C404" s="57">
        <f t="shared" si="72"/>
        <v>2012</v>
      </c>
      <c r="D404" s="57" t="s">
        <v>308</v>
      </c>
      <c r="E404">
        <f t="shared" si="65"/>
        <v>39</v>
      </c>
      <c r="F404">
        <f t="shared" si="69"/>
        <v>2012.2499999999698</v>
      </c>
      <c r="G404" s="57">
        <f t="shared" si="70"/>
        <v>399</v>
      </c>
      <c r="H404" s="57">
        <f t="shared" si="73"/>
        <v>2012</v>
      </c>
      <c r="I404" s="57" t="s">
        <v>308</v>
      </c>
      <c r="K404">
        <f t="shared" si="67"/>
        <v>27</v>
      </c>
      <c r="L404">
        <f t="shared" si="67"/>
        <v>27</v>
      </c>
      <c r="M404">
        <f t="shared" si="71"/>
        <v>95919</v>
      </c>
      <c r="S404">
        <f t="shared" ref="S404:S437" si="74">S403+1</f>
        <v>399</v>
      </c>
    </row>
    <row r="405" spans="1:20" x14ac:dyDescent="0.4">
      <c r="A405">
        <f t="shared" si="68"/>
        <v>16</v>
      </c>
      <c r="B405" s="57">
        <f t="shared" si="68"/>
        <v>400</v>
      </c>
      <c r="C405" s="57">
        <f t="shared" si="72"/>
        <v>2012</v>
      </c>
      <c r="D405" s="57" t="s">
        <v>309</v>
      </c>
      <c r="E405">
        <f t="shared" si="65"/>
        <v>40</v>
      </c>
      <c r="F405">
        <f t="shared" si="69"/>
        <v>2012.333333333303</v>
      </c>
      <c r="G405" s="57">
        <f t="shared" si="70"/>
        <v>400</v>
      </c>
      <c r="H405" s="57">
        <f t="shared" si="73"/>
        <v>2012</v>
      </c>
      <c r="I405" s="57" t="s">
        <v>309</v>
      </c>
      <c r="K405">
        <f t="shared" si="67"/>
        <v>28</v>
      </c>
      <c r="L405">
        <f t="shared" si="67"/>
        <v>28</v>
      </c>
      <c r="M405">
        <f t="shared" si="71"/>
        <v>96160</v>
      </c>
      <c r="S405">
        <f t="shared" si="74"/>
        <v>400</v>
      </c>
    </row>
    <row r="406" spans="1:20" x14ac:dyDescent="0.4">
      <c r="A406">
        <f t="shared" si="68"/>
        <v>17</v>
      </c>
      <c r="B406" s="57">
        <f t="shared" si="68"/>
        <v>401</v>
      </c>
      <c r="C406" s="57">
        <f t="shared" si="72"/>
        <v>2012</v>
      </c>
      <c r="D406" s="57" t="s">
        <v>310</v>
      </c>
      <c r="E406">
        <f t="shared" si="65"/>
        <v>41</v>
      </c>
      <c r="F406">
        <f t="shared" si="69"/>
        <v>2012.4166666666363</v>
      </c>
      <c r="G406" s="57">
        <f t="shared" si="70"/>
        <v>401</v>
      </c>
      <c r="H406" s="57">
        <f t="shared" si="73"/>
        <v>2012</v>
      </c>
      <c r="I406" s="57" t="s">
        <v>310</v>
      </c>
      <c r="K406">
        <f t="shared" si="67"/>
        <v>29</v>
      </c>
      <c r="L406">
        <f t="shared" si="67"/>
        <v>29</v>
      </c>
      <c r="M406">
        <f t="shared" si="71"/>
        <v>96401</v>
      </c>
      <c r="S406">
        <f t="shared" si="74"/>
        <v>401</v>
      </c>
    </row>
    <row r="407" spans="1:20" x14ac:dyDescent="0.4">
      <c r="A407">
        <f t="shared" si="68"/>
        <v>18</v>
      </c>
      <c r="B407" s="57">
        <f t="shared" si="68"/>
        <v>402</v>
      </c>
      <c r="C407" s="57">
        <f t="shared" si="72"/>
        <v>2012</v>
      </c>
      <c r="D407" s="57" t="s">
        <v>311</v>
      </c>
      <c r="E407">
        <f t="shared" si="65"/>
        <v>42</v>
      </c>
      <c r="F407">
        <f t="shared" si="69"/>
        <v>2012.4999999999695</v>
      </c>
      <c r="G407" s="57">
        <f t="shared" si="70"/>
        <v>402</v>
      </c>
      <c r="H407" s="57">
        <f t="shared" si="73"/>
        <v>2012</v>
      </c>
      <c r="I407" s="57" t="s">
        <v>311</v>
      </c>
      <c r="K407">
        <f t="shared" si="67"/>
        <v>30</v>
      </c>
      <c r="L407">
        <f t="shared" si="67"/>
        <v>30</v>
      </c>
      <c r="M407">
        <f t="shared" si="71"/>
        <v>96642</v>
      </c>
      <c r="S407">
        <f t="shared" si="74"/>
        <v>402</v>
      </c>
    </row>
    <row r="408" spans="1:20" x14ac:dyDescent="0.4">
      <c r="A408">
        <f t="shared" ref="A408:B423" si="75">A407+1</f>
        <v>19</v>
      </c>
      <c r="B408" s="57">
        <f t="shared" si="75"/>
        <v>403</v>
      </c>
      <c r="C408" s="57">
        <f t="shared" si="72"/>
        <v>2012</v>
      </c>
      <c r="D408" s="57" t="s">
        <v>312</v>
      </c>
      <c r="E408">
        <f t="shared" si="65"/>
        <v>43</v>
      </c>
      <c r="F408">
        <f t="shared" si="69"/>
        <v>2012.5833333333028</v>
      </c>
      <c r="G408" s="57">
        <f t="shared" si="70"/>
        <v>403</v>
      </c>
      <c r="H408" s="57">
        <f t="shared" si="73"/>
        <v>2012</v>
      </c>
      <c r="I408" s="57" t="s">
        <v>312</v>
      </c>
      <c r="K408">
        <f t="shared" si="67"/>
        <v>31</v>
      </c>
      <c r="L408">
        <f t="shared" si="67"/>
        <v>31</v>
      </c>
      <c r="M408">
        <f t="shared" si="71"/>
        <v>96883</v>
      </c>
      <c r="S408">
        <f t="shared" si="74"/>
        <v>403</v>
      </c>
    </row>
    <row r="409" spans="1:20" x14ac:dyDescent="0.4">
      <c r="A409">
        <f t="shared" si="75"/>
        <v>20</v>
      </c>
      <c r="B409" s="57">
        <f t="shared" si="75"/>
        <v>404</v>
      </c>
      <c r="C409" s="57">
        <f t="shared" si="72"/>
        <v>2012</v>
      </c>
      <c r="D409" s="57" t="s">
        <v>313</v>
      </c>
      <c r="E409">
        <f t="shared" si="65"/>
        <v>44</v>
      </c>
      <c r="F409">
        <f t="shared" si="69"/>
        <v>2012.666666666636</v>
      </c>
      <c r="G409" s="57">
        <f t="shared" si="70"/>
        <v>404</v>
      </c>
      <c r="H409" s="57">
        <f t="shared" si="73"/>
        <v>2012</v>
      </c>
      <c r="I409" s="57" t="s">
        <v>313</v>
      </c>
      <c r="K409">
        <f t="shared" si="67"/>
        <v>32</v>
      </c>
      <c r="L409">
        <f t="shared" si="67"/>
        <v>32</v>
      </c>
      <c r="M409">
        <f t="shared" si="71"/>
        <v>97124</v>
      </c>
      <c r="S409">
        <f t="shared" si="74"/>
        <v>404</v>
      </c>
    </row>
    <row r="410" spans="1:20" x14ac:dyDescent="0.4">
      <c r="A410">
        <f t="shared" si="75"/>
        <v>21</v>
      </c>
      <c r="B410" s="57">
        <f t="shared" si="75"/>
        <v>405</v>
      </c>
      <c r="C410" s="57">
        <f t="shared" si="72"/>
        <v>2012</v>
      </c>
      <c r="D410" s="57" t="s">
        <v>314</v>
      </c>
      <c r="E410">
        <f t="shared" si="65"/>
        <v>45</v>
      </c>
      <c r="F410">
        <f t="shared" si="69"/>
        <v>2012.7499999999693</v>
      </c>
      <c r="G410" s="57">
        <f t="shared" si="70"/>
        <v>405</v>
      </c>
      <c r="H410" s="57">
        <f t="shared" si="73"/>
        <v>2012</v>
      </c>
      <c r="I410" s="57" t="s">
        <v>314</v>
      </c>
      <c r="K410">
        <f t="shared" si="67"/>
        <v>33</v>
      </c>
      <c r="L410">
        <f t="shared" si="67"/>
        <v>33</v>
      </c>
      <c r="M410">
        <f t="shared" si="71"/>
        <v>97365</v>
      </c>
      <c r="S410">
        <f t="shared" si="74"/>
        <v>405</v>
      </c>
    </row>
    <row r="411" spans="1:20" x14ac:dyDescent="0.4">
      <c r="A411">
        <f t="shared" si="75"/>
        <v>22</v>
      </c>
      <c r="B411" s="57">
        <f t="shared" si="75"/>
        <v>406</v>
      </c>
      <c r="C411" s="57">
        <f t="shared" si="72"/>
        <v>2012</v>
      </c>
      <c r="D411" s="57" t="s">
        <v>316</v>
      </c>
      <c r="E411">
        <f t="shared" si="65"/>
        <v>46</v>
      </c>
      <c r="F411">
        <f t="shared" si="69"/>
        <v>2012.8333333333026</v>
      </c>
      <c r="G411" s="57">
        <f t="shared" si="70"/>
        <v>406</v>
      </c>
      <c r="H411" s="57">
        <f t="shared" si="73"/>
        <v>2012</v>
      </c>
      <c r="I411" s="57" t="s">
        <v>316</v>
      </c>
      <c r="K411">
        <f t="shared" si="67"/>
        <v>34</v>
      </c>
      <c r="L411">
        <f t="shared" si="67"/>
        <v>34</v>
      </c>
      <c r="M411">
        <f t="shared" si="71"/>
        <v>97606</v>
      </c>
      <c r="S411">
        <f t="shared" si="74"/>
        <v>406</v>
      </c>
    </row>
    <row r="412" spans="1:20" x14ac:dyDescent="0.4">
      <c r="A412">
        <f t="shared" si="75"/>
        <v>23</v>
      </c>
      <c r="B412" s="57">
        <f t="shared" si="75"/>
        <v>407</v>
      </c>
      <c r="C412" s="57">
        <f t="shared" si="72"/>
        <v>2012</v>
      </c>
      <c r="D412" s="57" t="s">
        <v>317</v>
      </c>
      <c r="E412">
        <f t="shared" si="65"/>
        <v>47</v>
      </c>
      <c r="F412">
        <f t="shared" si="69"/>
        <v>2012.9166666666358</v>
      </c>
      <c r="G412" s="57">
        <f t="shared" si="70"/>
        <v>407</v>
      </c>
      <c r="H412" s="57">
        <f t="shared" si="73"/>
        <v>2012</v>
      </c>
      <c r="I412" s="57" t="s">
        <v>317</v>
      </c>
      <c r="K412">
        <f t="shared" si="67"/>
        <v>35</v>
      </c>
      <c r="L412">
        <f t="shared" si="67"/>
        <v>35</v>
      </c>
      <c r="M412">
        <f t="shared" si="71"/>
        <v>97847</v>
      </c>
      <c r="S412">
        <f t="shared" si="74"/>
        <v>407</v>
      </c>
    </row>
    <row r="413" spans="1:20" x14ac:dyDescent="0.4">
      <c r="A413">
        <f t="shared" si="75"/>
        <v>24</v>
      </c>
      <c r="B413" s="57">
        <f t="shared" si="75"/>
        <v>408</v>
      </c>
      <c r="C413" s="57">
        <f t="shared" si="72"/>
        <v>2012</v>
      </c>
      <c r="D413" s="57" t="s">
        <v>319</v>
      </c>
      <c r="E413">
        <f t="shared" si="65"/>
        <v>48</v>
      </c>
      <c r="F413">
        <f t="shared" si="69"/>
        <v>2012.9999999999691</v>
      </c>
      <c r="G413" s="57">
        <f t="shared" si="70"/>
        <v>408</v>
      </c>
      <c r="H413" s="101">
        <f t="shared" si="73"/>
        <v>2012</v>
      </c>
      <c r="I413" s="101" t="s">
        <v>319</v>
      </c>
      <c r="K413" s="42">
        <f t="shared" si="67"/>
        <v>36</v>
      </c>
      <c r="L413" s="42">
        <f t="shared" si="67"/>
        <v>36</v>
      </c>
      <c r="M413">
        <f t="shared" si="71"/>
        <v>98088</v>
      </c>
      <c r="O413" s="92"/>
      <c r="P413" s="42">
        <f>P401+1</f>
        <v>12</v>
      </c>
      <c r="Q413" s="42"/>
      <c r="R413" s="42"/>
      <c r="S413" s="42">
        <f t="shared" si="74"/>
        <v>408</v>
      </c>
      <c r="T413" s="42"/>
    </row>
    <row r="414" spans="1:20" x14ac:dyDescent="0.4">
      <c r="A414">
        <f t="shared" si="75"/>
        <v>25</v>
      </c>
      <c r="B414" s="57">
        <f t="shared" si="75"/>
        <v>409</v>
      </c>
      <c r="C414" s="57">
        <f t="shared" si="72"/>
        <v>2013</v>
      </c>
      <c r="D414" s="57" t="s">
        <v>306</v>
      </c>
      <c r="E414">
        <f t="shared" si="65"/>
        <v>49</v>
      </c>
      <c r="F414">
        <f t="shared" si="69"/>
        <v>2013.0833333333023</v>
      </c>
      <c r="G414" s="57">
        <f t="shared" si="70"/>
        <v>409</v>
      </c>
      <c r="H414" s="57">
        <f t="shared" si="73"/>
        <v>2013</v>
      </c>
      <c r="I414" s="57" t="s">
        <v>306</v>
      </c>
      <c r="K414">
        <f t="shared" si="67"/>
        <v>37</v>
      </c>
      <c r="L414">
        <f t="shared" si="67"/>
        <v>37</v>
      </c>
      <c r="M414">
        <f t="shared" si="71"/>
        <v>98329</v>
      </c>
      <c r="S414">
        <f t="shared" si="74"/>
        <v>409</v>
      </c>
    </row>
    <row r="415" spans="1:20" x14ac:dyDescent="0.4">
      <c r="A415">
        <f t="shared" si="75"/>
        <v>26</v>
      </c>
      <c r="B415" s="57">
        <f t="shared" si="75"/>
        <v>410</v>
      </c>
      <c r="C415" s="57">
        <f t="shared" si="72"/>
        <v>2013</v>
      </c>
      <c r="D415" s="57" t="s">
        <v>307</v>
      </c>
      <c r="E415">
        <f t="shared" si="65"/>
        <v>50</v>
      </c>
      <c r="F415">
        <f t="shared" si="69"/>
        <v>2013.1666666666356</v>
      </c>
      <c r="G415" s="57">
        <f t="shared" si="70"/>
        <v>410</v>
      </c>
      <c r="H415" s="57">
        <f t="shared" si="73"/>
        <v>2013</v>
      </c>
      <c r="I415" s="57" t="s">
        <v>307</v>
      </c>
      <c r="K415">
        <f t="shared" si="67"/>
        <v>38</v>
      </c>
      <c r="L415">
        <f t="shared" si="67"/>
        <v>38</v>
      </c>
      <c r="M415">
        <f t="shared" si="71"/>
        <v>98570</v>
      </c>
      <c r="S415">
        <f t="shared" si="74"/>
        <v>410</v>
      </c>
    </row>
    <row r="416" spans="1:20" x14ac:dyDescent="0.4">
      <c r="A416">
        <f t="shared" si="75"/>
        <v>27</v>
      </c>
      <c r="B416" s="57">
        <f t="shared" si="75"/>
        <v>411</v>
      </c>
      <c r="C416" s="57">
        <f t="shared" si="72"/>
        <v>2013</v>
      </c>
      <c r="D416" s="57" t="s">
        <v>308</v>
      </c>
      <c r="E416">
        <f t="shared" si="65"/>
        <v>51</v>
      </c>
      <c r="F416">
        <f t="shared" si="69"/>
        <v>2013.2499999999688</v>
      </c>
      <c r="G416" s="57">
        <f t="shared" si="70"/>
        <v>411</v>
      </c>
      <c r="H416" s="57">
        <f t="shared" si="73"/>
        <v>2013</v>
      </c>
      <c r="I416" s="57" t="s">
        <v>308</v>
      </c>
      <c r="K416">
        <f t="shared" si="67"/>
        <v>39</v>
      </c>
      <c r="L416">
        <f t="shared" si="67"/>
        <v>39</v>
      </c>
      <c r="M416">
        <f t="shared" si="71"/>
        <v>98811</v>
      </c>
      <c r="S416">
        <f t="shared" si="74"/>
        <v>411</v>
      </c>
    </row>
    <row r="417" spans="1:19" x14ac:dyDescent="0.4">
      <c r="A417">
        <f t="shared" si="75"/>
        <v>28</v>
      </c>
      <c r="B417" s="57">
        <f t="shared" si="75"/>
        <v>412</v>
      </c>
      <c r="C417" s="57">
        <f t="shared" si="72"/>
        <v>2013</v>
      </c>
      <c r="D417" s="57" t="s">
        <v>309</v>
      </c>
      <c r="E417">
        <f t="shared" si="65"/>
        <v>52</v>
      </c>
      <c r="F417">
        <f t="shared" si="69"/>
        <v>2013.3333333333021</v>
      </c>
      <c r="G417" s="57">
        <f t="shared" si="70"/>
        <v>412</v>
      </c>
      <c r="H417" s="57">
        <f t="shared" si="73"/>
        <v>2013</v>
      </c>
      <c r="I417" s="57" t="s">
        <v>309</v>
      </c>
      <c r="K417">
        <f t="shared" si="67"/>
        <v>40</v>
      </c>
      <c r="L417">
        <f t="shared" si="67"/>
        <v>40</v>
      </c>
      <c r="M417">
        <f t="shared" si="71"/>
        <v>99052</v>
      </c>
      <c r="S417">
        <f t="shared" si="74"/>
        <v>412</v>
      </c>
    </row>
    <row r="418" spans="1:19" x14ac:dyDescent="0.4">
      <c r="A418">
        <f t="shared" si="75"/>
        <v>29</v>
      </c>
      <c r="B418" s="57">
        <f t="shared" si="75"/>
        <v>413</v>
      </c>
      <c r="C418" s="57">
        <f t="shared" si="72"/>
        <v>2013</v>
      </c>
      <c r="D418" s="57" t="s">
        <v>310</v>
      </c>
      <c r="E418">
        <f t="shared" si="65"/>
        <v>53</v>
      </c>
      <c r="F418">
        <f t="shared" si="69"/>
        <v>2013.4166666666354</v>
      </c>
      <c r="G418" s="57">
        <f t="shared" si="70"/>
        <v>413</v>
      </c>
      <c r="H418" s="57">
        <f t="shared" si="73"/>
        <v>2013</v>
      </c>
      <c r="I418" s="57" t="s">
        <v>310</v>
      </c>
      <c r="K418">
        <f t="shared" si="67"/>
        <v>41</v>
      </c>
      <c r="L418">
        <f t="shared" si="67"/>
        <v>41</v>
      </c>
      <c r="M418">
        <f t="shared" si="71"/>
        <v>99293</v>
      </c>
      <c r="S418">
        <f t="shared" si="74"/>
        <v>413</v>
      </c>
    </row>
    <row r="419" spans="1:19" x14ac:dyDescent="0.4">
      <c r="A419">
        <f t="shared" si="75"/>
        <v>30</v>
      </c>
      <c r="B419" s="57">
        <f t="shared" si="75"/>
        <v>414</v>
      </c>
      <c r="C419" s="57">
        <f t="shared" si="72"/>
        <v>2013</v>
      </c>
      <c r="D419" s="57" t="s">
        <v>311</v>
      </c>
      <c r="E419">
        <f t="shared" si="65"/>
        <v>54</v>
      </c>
      <c r="F419">
        <f t="shared" si="69"/>
        <v>2013.4999999999686</v>
      </c>
      <c r="G419" s="57">
        <f t="shared" si="70"/>
        <v>414</v>
      </c>
      <c r="H419" s="57">
        <f t="shared" si="73"/>
        <v>2013</v>
      </c>
      <c r="I419" s="57" t="s">
        <v>311</v>
      </c>
      <c r="K419">
        <f t="shared" si="67"/>
        <v>42</v>
      </c>
      <c r="L419">
        <f t="shared" si="67"/>
        <v>42</v>
      </c>
      <c r="M419">
        <f t="shared" si="71"/>
        <v>99534</v>
      </c>
      <c r="S419">
        <f t="shared" si="74"/>
        <v>414</v>
      </c>
    </row>
    <row r="420" spans="1:19" x14ac:dyDescent="0.4">
      <c r="A420">
        <f t="shared" si="75"/>
        <v>31</v>
      </c>
      <c r="B420" s="57">
        <f t="shared" si="75"/>
        <v>415</v>
      </c>
      <c r="C420" s="57">
        <f t="shared" si="72"/>
        <v>2013</v>
      </c>
      <c r="D420" s="57" t="s">
        <v>312</v>
      </c>
      <c r="E420">
        <f t="shared" si="65"/>
        <v>55</v>
      </c>
      <c r="F420">
        <f t="shared" si="69"/>
        <v>2013.5833333333019</v>
      </c>
      <c r="G420" s="57">
        <f t="shared" si="70"/>
        <v>415</v>
      </c>
      <c r="H420" s="57">
        <f t="shared" si="73"/>
        <v>2013</v>
      </c>
      <c r="I420" s="57" t="s">
        <v>312</v>
      </c>
      <c r="K420">
        <f t="shared" si="67"/>
        <v>43</v>
      </c>
      <c r="L420">
        <f t="shared" si="67"/>
        <v>43</v>
      </c>
      <c r="M420">
        <f t="shared" si="71"/>
        <v>99775</v>
      </c>
      <c r="S420">
        <f t="shared" si="74"/>
        <v>415</v>
      </c>
    </row>
    <row r="421" spans="1:19" ht="14.4" x14ac:dyDescent="0.3">
      <c r="A421">
        <f t="shared" si="75"/>
        <v>32</v>
      </c>
      <c r="B421" s="57">
        <f t="shared" si="75"/>
        <v>416</v>
      </c>
      <c r="C421" s="57">
        <f t="shared" si="72"/>
        <v>2013</v>
      </c>
      <c r="D421" s="57" t="s">
        <v>313</v>
      </c>
      <c r="E421">
        <f t="shared" si="65"/>
        <v>56</v>
      </c>
      <c r="F421">
        <f t="shared" si="69"/>
        <v>2013.6666666666351</v>
      </c>
      <c r="G421" s="57">
        <f t="shared" si="70"/>
        <v>416</v>
      </c>
      <c r="H421" s="57">
        <f t="shared" si="73"/>
        <v>2013</v>
      </c>
      <c r="I421" s="57" t="s">
        <v>313</v>
      </c>
      <c r="K421">
        <f t="shared" si="67"/>
        <v>44</v>
      </c>
      <c r="L421">
        <f t="shared" si="67"/>
        <v>44</v>
      </c>
      <c r="M421">
        <f t="shared" si="71"/>
        <v>100016</v>
      </c>
      <c r="O421" s="6" t="s">
        <v>329</v>
      </c>
      <c r="S421">
        <f t="shared" si="74"/>
        <v>416</v>
      </c>
    </row>
    <row r="422" spans="1:19" x14ac:dyDescent="0.4">
      <c r="A422">
        <f t="shared" si="75"/>
        <v>33</v>
      </c>
      <c r="B422" s="57">
        <f t="shared" si="75"/>
        <v>417</v>
      </c>
      <c r="C422" s="57">
        <f t="shared" si="72"/>
        <v>2013</v>
      </c>
      <c r="D422" s="57" t="s">
        <v>314</v>
      </c>
      <c r="E422">
        <f t="shared" si="65"/>
        <v>57</v>
      </c>
      <c r="F422">
        <f t="shared" si="69"/>
        <v>2013.7499999999684</v>
      </c>
      <c r="G422" s="57">
        <f t="shared" si="70"/>
        <v>417</v>
      </c>
      <c r="H422" s="57">
        <f t="shared" si="73"/>
        <v>2013</v>
      </c>
      <c r="I422" s="57" t="s">
        <v>314</v>
      </c>
      <c r="K422">
        <f t="shared" si="67"/>
        <v>45</v>
      </c>
      <c r="L422">
        <f t="shared" si="67"/>
        <v>45</v>
      </c>
      <c r="M422">
        <f t="shared" si="71"/>
        <v>100257</v>
      </c>
      <c r="S422">
        <f t="shared" si="74"/>
        <v>417</v>
      </c>
    </row>
    <row r="423" spans="1:19" x14ac:dyDescent="0.4">
      <c r="A423">
        <f t="shared" si="75"/>
        <v>34</v>
      </c>
      <c r="B423" s="57">
        <f t="shared" si="75"/>
        <v>418</v>
      </c>
      <c r="C423" s="57">
        <f t="shared" si="72"/>
        <v>2013</v>
      </c>
      <c r="D423" s="57" t="s">
        <v>316</v>
      </c>
      <c r="E423">
        <f t="shared" si="65"/>
        <v>58</v>
      </c>
      <c r="F423">
        <f t="shared" si="69"/>
        <v>2013.8333333333017</v>
      </c>
      <c r="G423" s="57">
        <f t="shared" si="70"/>
        <v>418</v>
      </c>
      <c r="H423" s="57">
        <f t="shared" si="73"/>
        <v>2013</v>
      </c>
      <c r="I423" s="57" t="s">
        <v>316</v>
      </c>
      <c r="K423">
        <f t="shared" si="67"/>
        <v>46</v>
      </c>
      <c r="L423">
        <f t="shared" si="67"/>
        <v>46</v>
      </c>
      <c r="M423">
        <f t="shared" si="71"/>
        <v>100498</v>
      </c>
      <c r="S423">
        <f t="shared" si="74"/>
        <v>418</v>
      </c>
    </row>
    <row r="424" spans="1:19" x14ac:dyDescent="0.4">
      <c r="A424">
        <f t="shared" ref="A424:B439" si="76">A423+1</f>
        <v>35</v>
      </c>
      <c r="B424" s="57">
        <f t="shared" si="76"/>
        <v>419</v>
      </c>
      <c r="C424" s="57">
        <f t="shared" si="72"/>
        <v>2013</v>
      </c>
      <c r="D424" s="57" t="s">
        <v>317</v>
      </c>
      <c r="E424">
        <f>E425-1</f>
        <v>59</v>
      </c>
      <c r="F424">
        <f t="shared" si="69"/>
        <v>2013.9166666666349</v>
      </c>
      <c r="G424" s="57">
        <f t="shared" si="70"/>
        <v>419</v>
      </c>
      <c r="H424" s="57">
        <f t="shared" si="73"/>
        <v>2013</v>
      </c>
      <c r="I424" s="57" t="s">
        <v>317</v>
      </c>
      <c r="K424">
        <f t="shared" si="67"/>
        <v>47</v>
      </c>
      <c r="L424">
        <f t="shared" si="67"/>
        <v>47</v>
      </c>
      <c r="M424">
        <f t="shared" si="71"/>
        <v>100739</v>
      </c>
      <c r="S424">
        <f t="shared" si="74"/>
        <v>419</v>
      </c>
    </row>
    <row r="425" spans="1:19" x14ac:dyDescent="0.4">
      <c r="A425">
        <f t="shared" si="76"/>
        <v>36</v>
      </c>
      <c r="B425" s="57">
        <f t="shared" si="76"/>
        <v>420</v>
      </c>
      <c r="C425" s="57">
        <f t="shared" si="72"/>
        <v>2013</v>
      </c>
      <c r="D425" s="57" t="s">
        <v>319</v>
      </c>
      <c r="E425">
        <v>60</v>
      </c>
      <c r="F425">
        <f t="shared" si="69"/>
        <v>2013.9999999999682</v>
      </c>
      <c r="G425" s="57">
        <f t="shared" si="70"/>
        <v>420</v>
      </c>
      <c r="H425" s="57">
        <f t="shared" si="73"/>
        <v>2013</v>
      </c>
      <c r="I425" s="57" t="s">
        <v>319</v>
      </c>
      <c r="K425">
        <f t="shared" si="67"/>
        <v>48</v>
      </c>
      <c r="L425" s="42">
        <f t="shared" si="67"/>
        <v>48</v>
      </c>
      <c r="M425">
        <f t="shared" si="71"/>
        <v>100980</v>
      </c>
      <c r="P425">
        <f>P413+1</f>
        <v>13</v>
      </c>
      <c r="S425">
        <f t="shared" si="74"/>
        <v>420</v>
      </c>
    </row>
    <row r="426" spans="1:19" ht="14.4" x14ac:dyDescent="0.3">
      <c r="A426">
        <f t="shared" si="76"/>
        <v>37</v>
      </c>
      <c r="B426">
        <f t="shared" si="76"/>
        <v>421</v>
      </c>
      <c r="C426">
        <f t="shared" si="72"/>
        <v>2014</v>
      </c>
      <c r="D426" t="s">
        <v>306</v>
      </c>
      <c r="F426">
        <f t="shared" si="69"/>
        <v>2014.0833333333014</v>
      </c>
      <c r="G426">
        <f t="shared" si="70"/>
        <v>421</v>
      </c>
      <c r="H426">
        <f t="shared" si="73"/>
        <v>2014</v>
      </c>
      <c r="I426" t="s">
        <v>306</v>
      </c>
      <c r="K426">
        <f t="shared" si="67"/>
        <v>49</v>
      </c>
      <c r="L426">
        <f t="shared" si="67"/>
        <v>49</v>
      </c>
      <c r="M426">
        <f t="shared" si="71"/>
        <v>101221</v>
      </c>
      <c r="O426" s="6" t="s">
        <v>330</v>
      </c>
      <c r="S426">
        <f t="shared" si="74"/>
        <v>421</v>
      </c>
    </row>
    <row r="427" spans="1:19" x14ac:dyDescent="0.4">
      <c r="A427">
        <f t="shared" si="76"/>
        <v>38</v>
      </c>
      <c r="B427">
        <f t="shared" si="76"/>
        <v>422</v>
      </c>
      <c r="C427">
        <f t="shared" si="72"/>
        <v>2014</v>
      </c>
      <c r="D427" t="s">
        <v>307</v>
      </c>
      <c r="F427">
        <f t="shared" si="69"/>
        <v>2014.1666666666347</v>
      </c>
      <c r="G427">
        <f t="shared" si="70"/>
        <v>422</v>
      </c>
      <c r="H427">
        <f t="shared" si="73"/>
        <v>2014</v>
      </c>
      <c r="I427" t="s">
        <v>307</v>
      </c>
      <c r="K427">
        <f t="shared" si="67"/>
        <v>50</v>
      </c>
      <c r="L427">
        <f t="shared" si="67"/>
        <v>50</v>
      </c>
      <c r="M427">
        <f t="shared" si="71"/>
        <v>101462</v>
      </c>
      <c r="S427">
        <f t="shared" si="74"/>
        <v>422</v>
      </c>
    </row>
    <row r="428" spans="1:19" x14ac:dyDescent="0.4">
      <c r="A428">
        <f t="shared" si="76"/>
        <v>39</v>
      </c>
      <c r="B428">
        <f t="shared" si="76"/>
        <v>423</v>
      </c>
      <c r="C428">
        <f t="shared" si="72"/>
        <v>2014</v>
      </c>
      <c r="D428" t="s">
        <v>308</v>
      </c>
      <c r="F428">
        <f t="shared" si="69"/>
        <v>2014.2499999999679</v>
      </c>
      <c r="G428">
        <f t="shared" si="70"/>
        <v>423</v>
      </c>
      <c r="H428">
        <f t="shared" si="73"/>
        <v>2014</v>
      </c>
      <c r="I428" t="s">
        <v>308</v>
      </c>
      <c r="K428">
        <f t="shared" si="67"/>
        <v>51</v>
      </c>
      <c r="L428">
        <f t="shared" si="67"/>
        <v>51</v>
      </c>
      <c r="M428">
        <f t="shared" si="71"/>
        <v>101703</v>
      </c>
      <c r="S428">
        <f t="shared" si="74"/>
        <v>423</v>
      </c>
    </row>
    <row r="429" spans="1:19" x14ac:dyDescent="0.4">
      <c r="A429">
        <f t="shared" si="76"/>
        <v>40</v>
      </c>
      <c r="B429">
        <f t="shared" si="76"/>
        <v>424</v>
      </c>
      <c r="C429">
        <f t="shared" si="72"/>
        <v>2014</v>
      </c>
      <c r="D429" t="s">
        <v>309</v>
      </c>
      <c r="F429">
        <f t="shared" si="69"/>
        <v>2014.3333333333012</v>
      </c>
      <c r="G429">
        <f t="shared" si="70"/>
        <v>424</v>
      </c>
      <c r="H429">
        <f t="shared" si="73"/>
        <v>2014</v>
      </c>
      <c r="I429" t="s">
        <v>309</v>
      </c>
      <c r="K429">
        <f t="shared" si="67"/>
        <v>52</v>
      </c>
      <c r="L429">
        <f t="shared" si="67"/>
        <v>52</v>
      </c>
      <c r="M429">
        <f t="shared" si="71"/>
        <v>101944</v>
      </c>
      <c r="S429">
        <f t="shared" si="74"/>
        <v>424</v>
      </c>
    </row>
    <row r="430" spans="1:19" x14ac:dyDescent="0.4">
      <c r="A430">
        <f t="shared" si="76"/>
        <v>41</v>
      </c>
      <c r="B430">
        <f t="shared" si="76"/>
        <v>425</v>
      </c>
      <c r="C430">
        <f t="shared" si="72"/>
        <v>2014</v>
      </c>
      <c r="D430" t="s">
        <v>310</v>
      </c>
      <c r="F430">
        <f t="shared" si="69"/>
        <v>2014.4166666666345</v>
      </c>
      <c r="G430">
        <f t="shared" si="70"/>
        <v>425</v>
      </c>
      <c r="H430">
        <f t="shared" si="73"/>
        <v>2014</v>
      </c>
      <c r="I430" t="s">
        <v>310</v>
      </c>
      <c r="K430">
        <f t="shared" si="67"/>
        <v>53</v>
      </c>
      <c r="L430">
        <f t="shared" si="67"/>
        <v>53</v>
      </c>
      <c r="M430">
        <f t="shared" si="71"/>
        <v>102185</v>
      </c>
      <c r="S430">
        <f t="shared" si="74"/>
        <v>425</v>
      </c>
    </row>
    <row r="431" spans="1:19" x14ac:dyDescent="0.4">
      <c r="A431">
        <f t="shared" si="76"/>
        <v>42</v>
      </c>
      <c r="B431">
        <f t="shared" si="76"/>
        <v>426</v>
      </c>
      <c r="C431">
        <f t="shared" si="72"/>
        <v>2014</v>
      </c>
      <c r="D431" t="s">
        <v>311</v>
      </c>
      <c r="F431">
        <f t="shared" si="69"/>
        <v>2014.4999999999677</v>
      </c>
      <c r="G431">
        <f t="shared" si="70"/>
        <v>426</v>
      </c>
      <c r="H431">
        <f t="shared" si="73"/>
        <v>2014</v>
      </c>
      <c r="I431" t="s">
        <v>311</v>
      </c>
      <c r="K431">
        <f t="shared" si="67"/>
        <v>54</v>
      </c>
      <c r="L431">
        <f t="shared" si="67"/>
        <v>54</v>
      </c>
      <c r="M431">
        <f t="shared" si="71"/>
        <v>102426</v>
      </c>
      <c r="S431">
        <f t="shared" si="74"/>
        <v>426</v>
      </c>
    </row>
    <row r="432" spans="1:19" x14ac:dyDescent="0.4">
      <c r="A432">
        <f t="shared" si="76"/>
        <v>43</v>
      </c>
      <c r="B432">
        <f t="shared" si="76"/>
        <v>427</v>
      </c>
      <c r="C432">
        <f t="shared" si="72"/>
        <v>2014</v>
      </c>
      <c r="D432" t="s">
        <v>312</v>
      </c>
      <c r="F432">
        <f t="shared" si="69"/>
        <v>2014.583333333301</v>
      </c>
      <c r="G432">
        <f t="shared" si="70"/>
        <v>427</v>
      </c>
      <c r="H432">
        <f t="shared" si="73"/>
        <v>2014</v>
      </c>
      <c r="I432" t="s">
        <v>312</v>
      </c>
      <c r="K432">
        <f t="shared" si="67"/>
        <v>55</v>
      </c>
      <c r="L432">
        <f t="shared" si="67"/>
        <v>55</v>
      </c>
      <c r="M432">
        <f t="shared" si="71"/>
        <v>102667</v>
      </c>
      <c r="O432" s="90">
        <f>G432</f>
        <v>427</v>
      </c>
      <c r="S432">
        <f t="shared" si="74"/>
        <v>427</v>
      </c>
    </row>
    <row r="433" spans="1:27" x14ac:dyDescent="0.4">
      <c r="A433">
        <f t="shared" si="76"/>
        <v>44</v>
      </c>
      <c r="B433">
        <f t="shared" si="76"/>
        <v>428</v>
      </c>
      <c r="C433">
        <f t="shared" si="72"/>
        <v>2014</v>
      </c>
      <c r="D433" t="s">
        <v>313</v>
      </c>
      <c r="F433">
        <f t="shared" si="69"/>
        <v>2014.6666666666342</v>
      </c>
      <c r="G433">
        <f t="shared" si="70"/>
        <v>428</v>
      </c>
      <c r="H433">
        <f t="shared" si="73"/>
        <v>2014</v>
      </c>
      <c r="I433" t="s">
        <v>313</v>
      </c>
      <c r="K433">
        <f t="shared" si="67"/>
        <v>56</v>
      </c>
      <c r="L433">
        <f t="shared" si="67"/>
        <v>56</v>
      </c>
      <c r="M433">
        <f t="shared" si="71"/>
        <v>102908</v>
      </c>
      <c r="S433">
        <f t="shared" si="74"/>
        <v>428</v>
      </c>
    </row>
    <row r="434" spans="1:27" x14ac:dyDescent="0.4">
      <c r="A434">
        <f t="shared" si="76"/>
        <v>45</v>
      </c>
      <c r="B434">
        <f t="shared" si="76"/>
        <v>429</v>
      </c>
      <c r="C434">
        <f t="shared" si="72"/>
        <v>2014</v>
      </c>
      <c r="D434" t="s">
        <v>314</v>
      </c>
      <c r="F434">
        <f t="shared" si="69"/>
        <v>2014.7499999999675</v>
      </c>
      <c r="G434">
        <f t="shared" si="70"/>
        <v>429</v>
      </c>
      <c r="H434">
        <f t="shared" si="73"/>
        <v>2014</v>
      </c>
      <c r="I434" t="s">
        <v>314</v>
      </c>
      <c r="K434">
        <f t="shared" si="67"/>
        <v>57</v>
      </c>
      <c r="L434">
        <f t="shared" si="67"/>
        <v>57</v>
      </c>
      <c r="M434">
        <f t="shared" si="71"/>
        <v>103149</v>
      </c>
      <c r="S434">
        <f t="shared" si="74"/>
        <v>429</v>
      </c>
    </row>
    <row r="435" spans="1:27" x14ac:dyDescent="0.4">
      <c r="A435">
        <f t="shared" si="76"/>
        <v>46</v>
      </c>
      <c r="B435">
        <f t="shared" si="76"/>
        <v>430</v>
      </c>
      <c r="C435">
        <f t="shared" si="72"/>
        <v>2014</v>
      </c>
      <c r="D435" t="s">
        <v>316</v>
      </c>
      <c r="F435">
        <f t="shared" si="69"/>
        <v>2014.8333333333007</v>
      </c>
      <c r="G435">
        <f t="shared" si="70"/>
        <v>430</v>
      </c>
      <c r="H435">
        <f t="shared" si="73"/>
        <v>2014</v>
      </c>
      <c r="I435" t="s">
        <v>316</v>
      </c>
      <c r="K435">
        <f t="shared" si="67"/>
        <v>58</v>
      </c>
      <c r="L435">
        <f t="shared" si="67"/>
        <v>58</v>
      </c>
      <c r="M435">
        <f t="shared" si="71"/>
        <v>103390</v>
      </c>
      <c r="S435">
        <f t="shared" si="74"/>
        <v>430</v>
      </c>
    </row>
    <row r="436" spans="1:27" x14ac:dyDescent="0.4">
      <c r="A436">
        <f t="shared" si="76"/>
        <v>47</v>
      </c>
      <c r="B436">
        <f t="shared" si="76"/>
        <v>431</v>
      </c>
      <c r="C436">
        <f t="shared" si="72"/>
        <v>2014</v>
      </c>
      <c r="D436" t="s">
        <v>317</v>
      </c>
      <c r="F436">
        <f t="shared" si="69"/>
        <v>2014.916666666634</v>
      </c>
      <c r="G436">
        <f t="shared" si="70"/>
        <v>431</v>
      </c>
      <c r="H436">
        <f t="shared" si="73"/>
        <v>2014</v>
      </c>
      <c r="I436" t="s">
        <v>317</v>
      </c>
      <c r="K436">
        <f t="shared" si="67"/>
        <v>59</v>
      </c>
      <c r="L436">
        <f t="shared" si="67"/>
        <v>59</v>
      </c>
      <c r="M436">
        <f t="shared" si="71"/>
        <v>103631</v>
      </c>
      <c r="S436">
        <f t="shared" si="74"/>
        <v>431</v>
      </c>
    </row>
    <row r="437" spans="1:27" x14ac:dyDescent="0.4">
      <c r="A437" s="42">
        <f t="shared" si="76"/>
        <v>48</v>
      </c>
      <c r="B437" s="117">
        <f t="shared" si="76"/>
        <v>432</v>
      </c>
      <c r="C437" s="42">
        <f t="shared" si="72"/>
        <v>2014</v>
      </c>
      <c r="D437" s="42" t="s">
        <v>319</v>
      </c>
      <c r="E437" s="42"/>
      <c r="F437">
        <f t="shared" si="69"/>
        <v>2014.9999999999673</v>
      </c>
      <c r="G437" s="105">
        <f t="shared" si="70"/>
        <v>432</v>
      </c>
      <c r="H437" s="105">
        <f t="shared" si="73"/>
        <v>2014</v>
      </c>
      <c r="I437" s="105" t="s">
        <v>319</v>
      </c>
      <c r="K437" s="42">
        <f t="shared" si="67"/>
        <v>60</v>
      </c>
      <c r="L437" s="42">
        <f t="shared" si="67"/>
        <v>60</v>
      </c>
      <c r="M437">
        <f t="shared" si="71"/>
        <v>103872</v>
      </c>
      <c r="O437" s="92"/>
      <c r="P437">
        <f>P425+1</f>
        <v>14</v>
      </c>
      <c r="Q437" s="42"/>
      <c r="R437" s="42"/>
      <c r="S437" s="42">
        <f t="shared" si="74"/>
        <v>432</v>
      </c>
      <c r="T437" s="42"/>
      <c r="U437" s="42"/>
      <c r="V437" s="42"/>
      <c r="W437" s="42"/>
      <c r="X437" s="42"/>
      <c r="Y437" s="42"/>
      <c r="Z437" s="42"/>
      <c r="AA437" s="42"/>
    </row>
    <row r="438" spans="1:27" x14ac:dyDescent="0.4">
      <c r="A438">
        <f t="shared" si="76"/>
        <v>49</v>
      </c>
      <c r="B438">
        <f t="shared" si="76"/>
        <v>433</v>
      </c>
      <c r="C438">
        <f t="shared" si="72"/>
        <v>2015</v>
      </c>
      <c r="D438" t="s">
        <v>306</v>
      </c>
      <c r="G438">
        <f t="shared" si="70"/>
        <v>433</v>
      </c>
      <c r="H438">
        <f t="shared" si="73"/>
        <v>2015</v>
      </c>
      <c r="I438" t="s">
        <v>306</v>
      </c>
      <c r="L438">
        <v>1</v>
      </c>
      <c r="M438">
        <f t="shared" si="71"/>
        <v>104113</v>
      </c>
    </row>
    <row r="439" spans="1:27" x14ac:dyDescent="0.4">
      <c r="A439">
        <f t="shared" si="76"/>
        <v>50</v>
      </c>
      <c r="B439">
        <f t="shared" si="76"/>
        <v>434</v>
      </c>
      <c r="C439">
        <f t="shared" si="72"/>
        <v>2015</v>
      </c>
      <c r="D439" t="s">
        <v>307</v>
      </c>
      <c r="G439">
        <f t="shared" si="70"/>
        <v>434</v>
      </c>
      <c r="H439">
        <f t="shared" si="73"/>
        <v>2015</v>
      </c>
      <c r="I439" t="s">
        <v>307</v>
      </c>
      <c r="L439">
        <f>L438+1</f>
        <v>2</v>
      </c>
      <c r="M439">
        <f t="shared" si="71"/>
        <v>104354</v>
      </c>
    </row>
    <row r="440" spans="1:27" x14ac:dyDescent="0.4">
      <c r="A440">
        <f t="shared" ref="A440:B449" si="77">A439+1</f>
        <v>51</v>
      </c>
      <c r="B440">
        <f t="shared" si="77"/>
        <v>435</v>
      </c>
      <c r="C440">
        <f t="shared" si="72"/>
        <v>2015</v>
      </c>
      <c r="D440" t="s">
        <v>308</v>
      </c>
      <c r="G440">
        <f t="shared" si="70"/>
        <v>435</v>
      </c>
      <c r="H440">
        <f t="shared" si="73"/>
        <v>2015</v>
      </c>
      <c r="I440" t="s">
        <v>308</v>
      </c>
      <c r="L440">
        <f t="shared" ref="L440" si="78">L439+1</f>
        <v>3</v>
      </c>
      <c r="M440">
        <f t="shared" si="71"/>
        <v>104595</v>
      </c>
    </row>
    <row r="441" spans="1:27" x14ac:dyDescent="0.4">
      <c r="A441">
        <f t="shared" si="77"/>
        <v>52</v>
      </c>
      <c r="B441">
        <f t="shared" si="77"/>
        <v>436</v>
      </c>
      <c r="C441">
        <f t="shared" si="72"/>
        <v>2015</v>
      </c>
      <c r="D441" t="s">
        <v>309</v>
      </c>
      <c r="G441">
        <f t="shared" si="70"/>
        <v>436</v>
      </c>
      <c r="H441">
        <f t="shared" si="73"/>
        <v>2015</v>
      </c>
      <c r="I441" t="s">
        <v>309</v>
      </c>
      <c r="L441">
        <f t="shared" ref="L441" si="79">L440+1</f>
        <v>4</v>
      </c>
      <c r="M441">
        <f t="shared" si="71"/>
        <v>104836</v>
      </c>
    </row>
    <row r="442" spans="1:27" x14ac:dyDescent="0.4">
      <c r="A442">
        <f t="shared" si="77"/>
        <v>53</v>
      </c>
      <c r="B442">
        <f t="shared" si="77"/>
        <v>437</v>
      </c>
      <c r="C442">
        <f t="shared" si="72"/>
        <v>2015</v>
      </c>
      <c r="D442" t="s">
        <v>310</v>
      </c>
      <c r="G442">
        <f t="shared" si="70"/>
        <v>437</v>
      </c>
      <c r="H442">
        <f t="shared" si="73"/>
        <v>2015</v>
      </c>
      <c r="I442" t="s">
        <v>310</v>
      </c>
      <c r="L442">
        <f t="shared" ref="L442" si="80">L441+1</f>
        <v>5</v>
      </c>
      <c r="M442">
        <f t="shared" si="71"/>
        <v>105077</v>
      </c>
    </row>
    <row r="443" spans="1:27" x14ac:dyDescent="0.4">
      <c r="A443">
        <f t="shared" si="77"/>
        <v>54</v>
      </c>
      <c r="G443">
        <f t="shared" si="70"/>
        <v>438</v>
      </c>
      <c r="H443">
        <f t="shared" si="73"/>
        <v>2015</v>
      </c>
      <c r="I443" t="s">
        <v>311</v>
      </c>
      <c r="L443">
        <f t="shared" ref="L443" si="81">L442+1</f>
        <v>6</v>
      </c>
      <c r="M443">
        <f t="shared" si="71"/>
        <v>105318</v>
      </c>
    </row>
    <row r="444" spans="1:27" x14ac:dyDescent="0.4">
      <c r="A444">
        <f t="shared" si="77"/>
        <v>55</v>
      </c>
      <c r="G444">
        <f t="shared" si="70"/>
        <v>439</v>
      </c>
      <c r="H444">
        <f t="shared" si="73"/>
        <v>2015</v>
      </c>
      <c r="I444" t="s">
        <v>312</v>
      </c>
      <c r="L444">
        <f t="shared" ref="L444" si="82">L443+1</f>
        <v>7</v>
      </c>
      <c r="M444">
        <f t="shared" si="71"/>
        <v>105559</v>
      </c>
    </row>
    <row r="445" spans="1:27" x14ac:dyDescent="0.4">
      <c r="A445">
        <f t="shared" si="77"/>
        <v>56</v>
      </c>
      <c r="G445">
        <f t="shared" si="70"/>
        <v>440</v>
      </c>
      <c r="H445">
        <f t="shared" si="73"/>
        <v>2015</v>
      </c>
      <c r="I445" t="s">
        <v>313</v>
      </c>
      <c r="L445">
        <f t="shared" ref="L445" si="83">L444+1</f>
        <v>8</v>
      </c>
      <c r="M445">
        <f t="shared" si="71"/>
        <v>105800</v>
      </c>
    </row>
    <row r="446" spans="1:27" x14ac:dyDescent="0.4">
      <c r="A446">
        <f t="shared" si="77"/>
        <v>57</v>
      </c>
      <c r="G446">
        <f t="shared" si="70"/>
        <v>441</v>
      </c>
      <c r="H446">
        <f t="shared" si="73"/>
        <v>2015</v>
      </c>
      <c r="I446" t="s">
        <v>314</v>
      </c>
      <c r="L446">
        <f t="shared" ref="L446" si="84">L445+1</f>
        <v>9</v>
      </c>
      <c r="M446">
        <f t="shared" si="71"/>
        <v>106041</v>
      </c>
    </row>
    <row r="447" spans="1:27" x14ac:dyDescent="0.4">
      <c r="A447">
        <f t="shared" si="77"/>
        <v>58</v>
      </c>
      <c r="G447">
        <f t="shared" si="70"/>
        <v>442</v>
      </c>
      <c r="H447">
        <f t="shared" si="73"/>
        <v>2015</v>
      </c>
      <c r="I447" t="s">
        <v>316</v>
      </c>
      <c r="L447">
        <f t="shared" ref="L447" si="85">L446+1</f>
        <v>10</v>
      </c>
      <c r="M447">
        <f t="shared" si="71"/>
        <v>106282</v>
      </c>
    </row>
    <row r="448" spans="1:27" x14ac:dyDescent="0.4">
      <c r="A448">
        <f t="shared" si="77"/>
        <v>59</v>
      </c>
      <c r="G448">
        <f t="shared" si="70"/>
        <v>443</v>
      </c>
      <c r="H448">
        <f t="shared" si="73"/>
        <v>2015</v>
      </c>
      <c r="I448" t="s">
        <v>317</v>
      </c>
      <c r="L448">
        <f t="shared" ref="L448" si="86">L447+1</f>
        <v>11</v>
      </c>
      <c r="M448">
        <f t="shared" si="71"/>
        <v>106523</v>
      </c>
    </row>
    <row r="449" spans="1:16" x14ac:dyDescent="0.4">
      <c r="A449">
        <f t="shared" si="77"/>
        <v>60</v>
      </c>
      <c r="G449">
        <f t="shared" si="70"/>
        <v>444</v>
      </c>
      <c r="H449" s="91">
        <f t="shared" si="73"/>
        <v>2015</v>
      </c>
      <c r="I449" s="42" t="s">
        <v>319</v>
      </c>
      <c r="L449" s="42">
        <f t="shared" ref="L449" si="87">L448+1</f>
        <v>12</v>
      </c>
      <c r="M449">
        <f t="shared" si="71"/>
        <v>106764</v>
      </c>
      <c r="P449">
        <f>P437+1</f>
        <v>15</v>
      </c>
    </row>
    <row r="450" spans="1:16" x14ac:dyDescent="0.4">
      <c r="G450">
        <f t="shared" si="70"/>
        <v>445</v>
      </c>
      <c r="H450">
        <f t="shared" si="73"/>
        <v>2016</v>
      </c>
      <c r="I450" t="s">
        <v>306</v>
      </c>
      <c r="L450">
        <f t="shared" ref="L450" si="88">L449+1</f>
        <v>13</v>
      </c>
      <c r="M450">
        <f t="shared" si="71"/>
        <v>107005</v>
      </c>
    </row>
    <row r="451" spans="1:16" x14ac:dyDescent="0.4">
      <c r="G451">
        <f t="shared" si="70"/>
        <v>446</v>
      </c>
      <c r="H451">
        <f t="shared" si="73"/>
        <v>2016</v>
      </c>
      <c r="I451" t="s">
        <v>307</v>
      </c>
      <c r="L451">
        <f t="shared" ref="L451" si="89">L450+1</f>
        <v>14</v>
      </c>
      <c r="M451">
        <f t="shared" si="71"/>
        <v>107246</v>
      </c>
    </row>
    <row r="452" spans="1:16" x14ac:dyDescent="0.4">
      <c r="G452">
        <f t="shared" si="70"/>
        <v>447</v>
      </c>
      <c r="H452">
        <f t="shared" si="73"/>
        <v>2016</v>
      </c>
      <c r="I452" t="s">
        <v>308</v>
      </c>
      <c r="L452">
        <f t="shared" ref="L452" si="90">L451+1</f>
        <v>15</v>
      </c>
      <c r="M452">
        <f t="shared" si="71"/>
        <v>107487</v>
      </c>
    </row>
    <row r="453" spans="1:16" x14ac:dyDescent="0.4">
      <c r="G453">
        <f t="shared" si="70"/>
        <v>448</v>
      </c>
      <c r="H453">
        <f t="shared" si="73"/>
        <v>2016</v>
      </c>
      <c r="I453" t="s">
        <v>309</v>
      </c>
      <c r="L453">
        <f t="shared" ref="L453" si="91">L452+1</f>
        <v>16</v>
      </c>
      <c r="M453">
        <f t="shared" si="71"/>
        <v>107728</v>
      </c>
    </row>
    <row r="454" spans="1:16" x14ac:dyDescent="0.4">
      <c r="G454">
        <f t="shared" si="70"/>
        <v>449</v>
      </c>
      <c r="H454">
        <f t="shared" si="73"/>
        <v>2016</v>
      </c>
      <c r="I454" t="s">
        <v>310</v>
      </c>
      <c r="L454">
        <f t="shared" ref="L454" si="92">L453+1</f>
        <v>17</v>
      </c>
      <c r="M454">
        <f t="shared" si="71"/>
        <v>107969</v>
      </c>
    </row>
    <row r="455" spans="1:16" x14ac:dyDescent="0.4">
      <c r="G455">
        <f t="shared" si="70"/>
        <v>450</v>
      </c>
      <c r="H455">
        <f t="shared" si="73"/>
        <v>2016</v>
      </c>
      <c r="I455" t="s">
        <v>311</v>
      </c>
      <c r="L455">
        <f t="shared" ref="L455" si="93">L454+1</f>
        <v>18</v>
      </c>
      <c r="M455">
        <f t="shared" si="71"/>
        <v>108210</v>
      </c>
    </row>
    <row r="456" spans="1:16" x14ac:dyDescent="0.4">
      <c r="G456">
        <f t="shared" ref="G456:G485" si="94">G455+1</f>
        <v>451</v>
      </c>
      <c r="H456">
        <f t="shared" si="73"/>
        <v>2016</v>
      </c>
      <c r="I456" t="s">
        <v>312</v>
      </c>
      <c r="L456">
        <f t="shared" ref="L456" si="95">L455+1</f>
        <v>19</v>
      </c>
      <c r="M456">
        <f t="shared" ref="M456:M485" si="96">M455+241</f>
        <v>108451</v>
      </c>
    </row>
    <row r="457" spans="1:16" x14ac:dyDescent="0.4">
      <c r="G457">
        <f t="shared" si="94"/>
        <v>452</v>
      </c>
      <c r="H457">
        <f t="shared" si="73"/>
        <v>2016</v>
      </c>
      <c r="I457" t="s">
        <v>313</v>
      </c>
      <c r="L457">
        <f t="shared" ref="L457" si="97">L456+1</f>
        <v>20</v>
      </c>
      <c r="M457">
        <f t="shared" si="96"/>
        <v>108692</v>
      </c>
    </row>
    <row r="458" spans="1:16" x14ac:dyDescent="0.4">
      <c r="G458">
        <f t="shared" si="94"/>
        <v>453</v>
      </c>
      <c r="H458">
        <f t="shared" si="73"/>
        <v>2016</v>
      </c>
      <c r="I458" t="s">
        <v>314</v>
      </c>
      <c r="L458">
        <f t="shared" ref="L458" si="98">L457+1</f>
        <v>21</v>
      </c>
      <c r="M458">
        <f t="shared" si="96"/>
        <v>108933</v>
      </c>
    </row>
    <row r="459" spans="1:16" x14ac:dyDescent="0.4">
      <c r="G459">
        <f t="shared" si="94"/>
        <v>454</v>
      </c>
      <c r="H459">
        <f t="shared" si="73"/>
        <v>2016</v>
      </c>
      <c r="I459" t="s">
        <v>316</v>
      </c>
      <c r="L459">
        <f t="shared" ref="L459" si="99">L458+1</f>
        <v>22</v>
      </c>
      <c r="M459">
        <f t="shared" si="96"/>
        <v>109174</v>
      </c>
    </row>
    <row r="460" spans="1:16" x14ac:dyDescent="0.4">
      <c r="G460">
        <f t="shared" si="94"/>
        <v>455</v>
      </c>
      <c r="H460">
        <f t="shared" si="73"/>
        <v>2016</v>
      </c>
      <c r="I460" t="s">
        <v>317</v>
      </c>
      <c r="L460">
        <f t="shared" ref="L460" si="100">L459+1</f>
        <v>23</v>
      </c>
      <c r="M460">
        <f t="shared" si="96"/>
        <v>109415</v>
      </c>
    </row>
    <row r="461" spans="1:16" x14ac:dyDescent="0.4">
      <c r="G461">
        <f t="shared" si="94"/>
        <v>456</v>
      </c>
      <c r="H461" s="91">
        <f t="shared" si="73"/>
        <v>2016</v>
      </c>
      <c r="I461" s="42" t="s">
        <v>319</v>
      </c>
      <c r="L461" s="42">
        <f t="shared" ref="L461" si="101">L460+1</f>
        <v>24</v>
      </c>
      <c r="M461">
        <f t="shared" si="96"/>
        <v>109656</v>
      </c>
    </row>
    <row r="462" spans="1:16" x14ac:dyDescent="0.4">
      <c r="G462">
        <f t="shared" si="94"/>
        <v>457</v>
      </c>
      <c r="H462">
        <f t="shared" si="73"/>
        <v>2017</v>
      </c>
      <c r="I462" t="s">
        <v>306</v>
      </c>
      <c r="L462">
        <f t="shared" ref="L462" si="102">L461+1</f>
        <v>25</v>
      </c>
      <c r="M462">
        <f t="shared" si="96"/>
        <v>109897</v>
      </c>
    </row>
    <row r="463" spans="1:16" x14ac:dyDescent="0.4">
      <c r="G463">
        <f t="shared" si="94"/>
        <v>458</v>
      </c>
      <c r="H463">
        <f t="shared" si="73"/>
        <v>2017</v>
      </c>
      <c r="I463" t="s">
        <v>307</v>
      </c>
      <c r="L463">
        <f t="shared" ref="L463" si="103">L462+1</f>
        <v>26</v>
      </c>
      <c r="M463">
        <f t="shared" si="96"/>
        <v>110138</v>
      </c>
    </row>
    <row r="464" spans="1:16" x14ac:dyDescent="0.4">
      <c r="G464">
        <f t="shared" si="94"/>
        <v>459</v>
      </c>
      <c r="H464">
        <f t="shared" si="73"/>
        <v>2017</v>
      </c>
      <c r="I464" t="s">
        <v>308</v>
      </c>
      <c r="L464">
        <f t="shared" ref="L464" si="104">L463+1</f>
        <v>27</v>
      </c>
      <c r="M464">
        <f t="shared" si="96"/>
        <v>110379</v>
      </c>
    </row>
    <row r="465" spans="7:13" x14ac:dyDescent="0.4">
      <c r="G465">
        <f t="shared" si="94"/>
        <v>460</v>
      </c>
      <c r="H465">
        <f t="shared" si="73"/>
        <v>2017</v>
      </c>
      <c r="I465" t="s">
        <v>309</v>
      </c>
      <c r="L465">
        <f t="shared" ref="L465" si="105">L464+1</f>
        <v>28</v>
      </c>
      <c r="M465">
        <f t="shared" si="96"/>
        <v>110620</v>
      </c>
    </row>
    <row r="466" spans="7:13" x14ac:dyDescent="0.4">
      <c r="G466">
        <f t="shared" si="94"/>
        <v>461</v>
      </c>
      <c r="H466">
        <f t="shared" si="73"/>
        <v>2017</v>
      </c>
      <c r="I466" t="s">
        <v>310</v>
      </c>
      <c r="L466">
        <f t="shared" ref="L466" si="106">L465+1</f>
        <v>29</v>
      </c>
      <c r="M466">
        <f t="shared" si="96"/>
        <v>110861</v>
      </c>
    </row>
    <row r="467" spans="7:13" x14ac:dyDescent="0.4">
      <c r="G467">
        <f t="shared" si="94"/>
        <v>462</v>
      </c>
      <c r="H467">
        <f t="shared" ref="H467:H485" si="107">H455+1</f>
        <v>2017</v>
      </c>
      <c r="I467" t="s">
        <v>311</v>
      </c>
      <c r="L467">
        <f t="shared" ref="L467" si="108">L466+1</f>
        <v>30</v>
      </c>
      <c r="M467">
        <f t="shared" si="96"/>
        <v>111102</v>
      </c>
    </row>
    <row r="468" spans="7:13" x14ac:dyDescent="0.4">
      <c r="G468">
        <f t="shared" si="94"/>
        <v>463</v>
      </c>
      <c r="H468">
        <f t="shared" si="107"/>
        <v>2017</v>
      </c>
      <c r="I468" t="s">
        <v>312</v>
      </c>
      <c r="L468">
        <f t="shared" ref="L468" si="109">L467+1</f>
        <v>31</v>
      </c>
      <c r="M468">
        <f t="shared" si="96"/>
        <v>111343</v>
      </c>
    </row>
    <row r="469" spans="7:13" x14ac:dyDescent="0.4">
      <c r="G469">
        <f t="shared" si="94"/>
        <v>464</v>
      </c>
      <c r="H469">
        <f t="shared" si="107"/>
        <v>2017</v>
      </c>
      <c r="I469" t="s">
        <v>313</v>
      </c>
      <c r="L469">
        <f t="shared" ref="L469" si="110">L468+1</f>
        <v>32</v>
      </c>
      <c r="M469">
        <f t="shared" si="96"/>
        <v>111584</v>
      </c>
    </row>
    <row r="470" spans="7:13" x14ac:dyDescent="0.4">
      <c r="G470">
        <f t="shared" si="94"/>
        <v>465</v>
      </c>
      <c r="H470">
        <f t="shared" si="107"/>
        <v>2017</v>
      </c>
      <c r="I470" t="s">
        <v>314</v>
      </c>
      <c r="L470">
        <f t="shared" ref="L470" si="111">L469+1</f>
        <v>33</v>
      </c>
      <c r="M470">
        <f t="shared" si="96"/>
        <v>111825</v>
      </c>
    </row>
    <row r="471" spans="7:13" x14ac:dyDescent="0.4">
      <c r="G471">
        <f t="shared" si="94"/>
        <v>466</v>
      </c>
      <c r="H471">
        <f t="shared" si="107"/>
        <v>2017</v>
      </c>
      <c r="I471" t="s">
        <v>316</v>
      </c>
      <c r="L471">
        <f t="shared" ref="L471" si="112">L470+1</f>
        <v>34</v>
      </c>
      <c r="M471">
        <f t="shared" si="96"/>
        <v>112066</v>
      </c>
    </row>
    <row r="472" spans="7:13" x14ac:dyDescent="0.4">
      <c r="G472">
        <f t="shared" si="94"/>
        <v>467</v>
      </c>
      <c r="H472">
        <f t="shared" si="107"/>
        <v>2017</v>
      </c>
      <c r="I472" t="s">
        <v>317</v>
      </c>
      <c r="L472">
        <f t="shared" ref="L472" si="113">L471+1</f>
        <v>35</v>
      </c>
      <c r="M472">
        <f t="shared" si="96"/>
        <v>112307</v>
      </c>
    </row>
    <row r="473" spans="7:13" x14ac:dyDescent="0.4">
      <c r="G473">
        <f t="shared" si="94"/>
        <v>468</v>
      </c>
      <c r="H473" s="91">
        <f t="shared" si="107"/>
        <v>2017</v>
      </c>
      <c r="I473" s="42" t="s">
        <v>319</v>
      </c>
      <c r="L473" s="42">
        <f t="shared" ref="L473" si="114">L472+1</f>
        <v>36</v>
      </c>
      <c r="M473">
        <f t="shared" si="96"/>
        <v>112548</v>
      </c>
    </row>
    <row r="474" spans="7:13" x14ac:dyDescent="0.4">
      <c r="G474">
        <f t="shared" si="94"/>
        <v>469</v>
      </c>
      <c r="H474">
        <f t="shared" si="107"/>
        <v>2018</v>
      </c>
      <c r="I474" t="s">
        <v>306</v>
      </c>
      <c r="L474">
        <f t="shared" ref="L474" si="115">L473+1</f>
        <v>37</v>
      </c>
      <c r="M474">
        <f t="shared" si="96"/>
        <v>112789</v>
      </c>
    </row>
    <row r="475" spans="7:13" x14ac:dyDescent="0.4">
      <c r="G475">
        <f t="shared" si="94"/>
        <v>470</v>
      </c>
      <c r="H475">
        <f t="shared" si="107"/>
        <v>2018</v>
      </c>
      <c r="I475" t="s">
        <v>307</v>
      </c>
      <c r="L475">
        <f t="shared" ref="L475" si="116">L474+1</f>
        <v>38</v>
      </c>
      <c r="M475">
        <f t="shared" si="96"/>
        <v>113030</v>
      </c>
    </row>
    <row r="476" spans="7:13" x14ac:dyDescent="0.4">
      <c r="G476">
        <f t="shared" si="94"/>
        <v>471</v>
      </c>
      <c r="H476">
        <f t="shared" si="107"/>
        <v>2018</v>
      </c>
      <c r="I476" t="s">
        <v>308</v>
      </c>
      <c r="L476">
        <f t="shared" ref="L476" si="117">L475+1</f>
        <v>39</v>
      </c>
      <c r="M476">
        <f t="shared" si="96"/>
        <v>113271</v>
      </c>
    </row>
    <row r="477" spans="7:13" x14ac:dyDescent="0.4">
      <c r="G477">
        <f t="shared" si="94"/>
        <v>472</v>
      </c>
      <c r="H477">
        <f t="shared" si="107"/>
        <v>2018</v>
      </c>
      <c r="I477" t="s">
        <v>309</v>
      </c>
      <c r="L477">
        <f t="shared" ref="L477" si="118">L476+1</f>
        <v>40</v>
      </c>
      <c r="M477">
        <f t="shared" si="96"/>
        <v>113512</v>
      </c>
    </row>
    <row r="478" spans="7:13" x14ac:dyDescent="0.4">
      <c r="G478">
        <f t="shared" si="94"/>
        <v>473</v>
      </c>
      <c r="H478">
        <f t="shared" si="107"/>
        <v>2018</v>
      </c>
      <c r="I478" t="s">
        <v>310</v>
      </c>
      <c r="L478">
        <f t="shared" ref="L478" si="119">L477+1</f>
        <v>41</v>
      </c>
      <c r="M478">
        <f t="shared" si="96"/>
        <v>113753</v>
      </c>
    </row>
    <row r="479" spans="7:13" x14ac:dyDescent="0.4">
      <c r="G479">
        <f t="shared" si="94"/>
        <v>474</v>
      </c>
      <c r="H479">
        <f t="shared" si="107"/>
        <v>2018</v>
      </c>
      <c r="I479" t="s">
        <v>311</v>
      </c>
      <c r="L479">
        <f t="shared" ref="L479" si="120">L478+1</f>
        <v>42</v>
      </c>
      <c r="M479">
        <f t="shared" si="96"/>
        <v>113994</v>
      </c>
    </row>
    <row r="480" spans="7:13" x14ac:dyDescent="0.4">
      <c r="G480">
        <f t="shared" si="94"/>
        <v>475</v>
      </c>
      <c r="H480">
        <f t="shared" si="107"/>
        <v>2018</v>
      </c>
      <c r="I480" t="s">
        <v>312</v>
      </c>
      <c r="L480">
        <f t="shared" ref="L480" si="121">L479+1</f>
        <v>43</v>
      </c>
      <c r="M480">
        <f t="shared" si="96"/>
        <v>114235</v>
      </c>
    </row>
    <row r="481" spans="7:14" x14ac:dyDescent="0.4">
      <c r="G481">
        <f t="shared" si="94"/>
        <v>476</v>
      </c>
      <c r="H481">
        <f t="shared" si="107"/>
        <v>2018</v>
      </c>
      <c r="I481" t="s">
        <v>313</v>
      </c>
      <c r="L481">
        <f t="shared" ref="L481" si="122">L480+1</f>
        <v>44</v>
      </c>
      <c r="M481">
        <f t="shared" si="96"/>
        <v>114476</v>
      </c>
    </row>
    <row r="482" spans="7:14" x14ac:dyDescent="0.4">
      <c r="G482">
        <f t="shared" si="94"/>
        <v>477</v>
      </c>
      <c r="H482">
        <f t="shared" si="107"/>
        <v>2018</v>
      </c>
      <c r="I482" t="s">
        <v>314</v>
      </c>
      <c r="L482">
        <f t="shared" ref="L482" si="123">L481+1</f>
        <v>45</v>
      </c>
      <c r="M482">
        <f t="shared" si="96"/>
        <v>114717</v>
      </c>
    </row>
    <row r="483" spans="7:14" x14ac:dyDescent="0.4">
      <c r="G483">
        <f t="shared" si="94"/>
        <v>478</v>
      </c>
      <c r="H483">
        <f t="shared" si="107"/>
        <v>2018</v>
      </c>
      <c r="I483" t="s">
        <v>316</v>
      </c>
      <c r="L483">
        <f t="shared" ref="L483" si="124">L482+1</f>
        <v>46</v>
      </c>
      <c r="M483">
        <f t="shared" si="96"/>
        <v>114958</v>
      </c>
    </row>
    <row r="484" spans="7:14" x14ac:dyDescent="0.4">
      <c r="G484">
        <f t="shared" si="94"/>
        <v>479</v>
      </c>
      <c r="H484">
        <f t="shared" si="107"/>
        <v>2018</v>
      </c>
      <c r="I484" t="s">
        <v>317</v>
      </c>
      <c r="L484">
        <f t="shared" ref="L484" si="125">L483+1</f>
        <v>47</v>
      </c>
      <c r="M484">
        <f t="shared" si="96"/>
        <v>115199</v>
      </c>
    </row>
    <row r="485" spans="7:14" x14ac:dyDescent="0.4">
      <c r="G485">
        <f t="shared" si="94"/>
        <v>480</v>
      </c>
      <c r="H485" s="91">
        <f t="shared" si="107"/>
        <v>2018</v>
      </c>
      <c r="I485" s="42" t="s">
        <v>319</v>
      </c>
      <c r="L485" s="42">
        <f t="shared" ref="L485" si="126">L484+1</f>
        <v>48</v>
      </c>
      <c r="M485">
        <f t="shared" si="96"/>
        <v>115440</v>
      </c>
      <c r="N485" t="s">
        <v>339</v>
      </c>
    </row>
    <row r="486" spans="7:14" x14ac:dyDescent="0.4">
      <c r="L486">
        <f t="shared" ref="L486" si="127">L485+1</f>
        <v>49</v>
      </c>
      <c r="M486">
        <f>M485+241</f>
        <v>115681</v>
      </c>
      <c r="N486" t="s">
        <v>338</v>
      </c>
    </row>
    <row r="487" spans="7:14" x14ac:dyDescent="0.4">
      <c r="L487">
        <f t="shared" ref="L487" si="128">L486+1</f>
        <v>50</v>
      </c>
    </row>
    <row r="488" spans="7:14" x14ac:dyDescent="0.4">
      <c r="L488">
        <f t="shared" ref="L488" si="129">L487+1</f>
        <v>51</v>
      </c>
    </row>
    <row r="489" spans="7:14" x14ac:dyDescent="0.4">
      <c r="L489">
        <f t="shared" ref="L489" si="130">L488+1</f>
        <v>52</v>
      </c>
    </row>
    <row r="490" spans="7:14" x14ac:dyDescent="0.4">
      <c r="L490">
        <f t="shared" ref="L490" si="131">L489+1</f>
        <v>53</v>
      </c>
    </row>
    <row r="491" spans="7:14" x14ac:dyDescent="0.4">
      <c r="L491">
        <f t="shared" ref="L491" si="132">L490+1</f>
        <v>54</v>
      </c>
    </row>
    <row r="492" spans="7:14" x14ac:dyDescent="0.4">
      <c r="L492">
        <f t="shared" ref="L492" si="133">L491+1</f>
        <v>55</v>
      </c>
    </row>
    <row r="493" spans="7:14" x14ac:dyDescent="0.4">
      <c r="L493">
        <f t="shared" ref="L493" si="134">L492+1</f>
        <v>56</v>
      </c>
    </row>
    <row r="494" spans="7:14" x14ac:dyDescent="0.4">
      <c r="L494">
        <f t="shared" ref="L494" si="135">L493+1</f>
        <v>57</v>
      </c>
    </row>
    <row r="495" spans="7:14" x14ac:dyDescent="0.4">
      <c r="L495">
        <f t="shared" ref="L495" si="136">L494+1</f>
        <v>58</v>
      </c>
    </row>
    <row r="496" spans="7:14" x14ac:dyDescent="0.4">
      <c r="L496">
        <f t="shared" ref="L496" si="137">L495+1</f>
        <v>59</v>
      </c>
    </row>
    <row r="497" spans="12:12" x14ac:dyDescent="0.4">
      <c r="L497" s="42">
        <f t="shared" ref="L497" si="138">L496+1</f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Sources</vt:lpstr>
      <vt:lpstr>origGeo</vt:lpstr>
      <vt:lpstr>MonthConvert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Wallace</dc:creator>
  <cp:lastModifiedBy>Michael Wallace</cp:lastModifiedBy>
  <dcterms:created xsi:type="dcterms:W3CDTF">2017-03-20T13:30:20Z</dcterms:created>
  <dcterms:modified xsi:type="dcterms:W3CDTF">2022-03-12T23:12:12Z</dcterms:modified>
</cp:coreProperties>
</file>